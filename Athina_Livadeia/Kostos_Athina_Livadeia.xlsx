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Σύνοψη" sheetId="1" state="visible" r:id="rId3"/>
    <sheet name="Παραδοχές" sheetId="2" state="visible" r:id="rId4"/>
    <sheet name="Υπολογισμός διοδίω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<sst xmlns="http://schemas.openxmlformats.org/spreadsheetml/2006/main" count="166" uniqueCount="125">
  <si>
    <t xml:space="preserve">Κόστος μετακίνησης Αθήνα ↔ Λιβαδειά με αυτοκίνητο</t>
  </si>
  <si>
    <t xml:space="preserve">Toyota Yaris 2026 Hybrid 130 · Fast Pass Νέα Οδός Frequent All 2 · Οκτώβριος 2026</t>
  </si>
  <si>
    <t xml:space="preserve">Σενάριο</t>
  </si>
  <si>
    <t xml:space="preserve">Διαδρομή</t>
  </si>
  <si>
    <t xml:space="preserve">Καύσιμο (€)</t>
  </si>
  <si>
    <t xml:space="preserve">Διόδια χωρίς έκπτωση (€)</t>
  </si>
  <si>
    <t xml:space="preserve">Διόδια με Frequent All 2 (€)</t>
  </si>
  <si>
    <t xml:space="preserve">Σύνολο / μήνα (€)</t>
  </si>
  <si>
    <t xml:space="preserve">Διαφορά από Γ (€)</t>
  </si>
  <si>
    <t xml:space="preserve">Σύνολο / έτος (€)</t>
  </si>
  <si>
    <t xml:space="preserve">Α. Αφίδνες → Πλευρ. Θήβας → Αφίδνες</t>
  </si>
  <si>
    <t xml:space="preserve">Μετωπικός Αφιδνών + πλευρικός Θήβας και στις δύο κατευθύνσεις</t>
  </si>
  <si>
    <t xml:space="preserve">Γ. Πλευρικά → Πλευρ. Θήβας + Αφίδνες</t>
  </si>
  <si>
    <t xml:space="preserve">Προς Λιβαδειά: πλευρ. Οινοφύτων + Θήβας. Προς Αθήνα: πλευρ. Θήβας + μετωπ. Αφιδνών</t>
  </si>
  <si>
    <t xml:space="preserve">Β. Μετωπικά → Μετωπικά</t>
  </si>
  <si>
    <t xml:space="preserve">Μετωπικοί Αφιδνών &amp; Θήβας και στις δύο κατευθύνσεις</t>
  </si>
  <si>
    <t xml:space="preserve">Σταθμός</t>
  </si>
  <si>
    <t xml:space="preserve">Τιμή (€)</t>
  </si>
  <si>
    <t xml:space="preserve">Διελεύσεις</t>
  </si>
  <si>
    <t xml:space="preserve">Χωρίς έκπτωση (€)</t>
  </si>
  <si>
    <t xml:space="preserve">Με έκπτωση (€)</t>
  </si>
  <si>
    <t xml:space="preserve">Σύνολο διοδίων</t>
  </si>
  <si>
    <t xml:space="preserve">3. Ανάλυση ανά ημερολογιακό μήνα (η έκπτωση μηδενίζεται κάθε μήνα)</t>
  </si>
  <si>
    <t xml:space="preserve">Μήνας</t>
  </si>
  <si>
    <t xml:space="preserve">Πήγαινε–έλα / μήνα</t>
  </si>
  <si>
    <t xml:space="preserve">Α. Αφίδνες → Πλευρ. Θήβας → Αφίδνες (€)</t>
  </si>
  <si>
    <t xml:space="preserve">Γ. Πλευρικά → Πλευρ. Θήβας + Αφίδνες (€)</t>
  </si>
  <si>
    <t xml:space="preserve">Β. Μετωπικά → Μετωπικά (€)</t>
  </si>
  <si>
    <t xml:space="preserve">Α − Γ (€)</t>
  </si>
  <si>
    <t xml:space="preserve">Β − Γ (€)</t>
  </si>
  <si>
    <t xml:space="preserve">Μήνας με 12 διαδρομές</t>
  </si>
  <si>
    <t xml:space="preserve">Μήνας με 13 διαδρομές</t>
  </si>
  <si>
    <t xml:space="preserve">Μήνας με 14 διαδρομές</t>
  </si>
  <si>
    <t xml:space="preserve">Μήνας με 15 διαδρομές</t>
  </si>
  <si>
    <t xml:space="preserve">Ο αριθμός πήγαινε–έλα ανά μήνα (μπλε, κίτρινο φόντο) μπορεί να αλλάξει.</t>
  </si>
  <si>
    <t xml:space="preserve">Υποσημειώσεις – Παραδοχές</t>
  </si>
  <si>
    <t xml:space="preserve">¹ Αυτοκίνητο</t>
  </si>
  <si>
    <t xml:space="preserve">² Ισχύς</t>
  </si>
  <si>
    <t xml:space="preserve">Έκδοση Hybrid 130</t>
  </si>
  <si>
    <t xml:space="preserve">³ Τιμή βενζίνης 95</t>
  </si>
  <si>
    <t xml:space="preserve">Μέση τιμή περιόδου</t>
  </si>
  <si>
    <t xml:space="preserve">⁴ Μέση κατανάλωση</t>
  </si>
  <si>
    <t xml:space="preserve">Πραγματική κατανάλωση στη διαδρομή (όχι WLTP)</t>
  </si>
  <si>
    <t xml:space="preserve">⁵ Απόσταση</t>
  </si>
  <si>
    <t xml:space="preserve">Ανά κατεύθυνση, ίδια σε όλα τα σενάρια</t>
  </si>
  <si>
    <t xml:space="preserve">⁶ Συχνότητα</t>
  </si>
  <si>
    <t xml:space="preserve">Μέσος μήνας = 3 × 52 / 12 = 13 πήγαινε–έλα</t>
  </si>
  <si>
    <t xml:space="preserve">⁷ Διόδια (κατηγορία 2 – ΙΧ)</t>
  </si>
  <si>
    <t xml:space="preserve">Οινόφυτα 0,80 € · Θήβα πλευρ. 1,80 €</t>
  </si>
  <si>
    <t xml:space="preserve">Αφίδνες 3,90 € · Θήβα μετωπ. 4,55 € (επιβεβαιωμένες τιμές)</t>
  </si>
  <si>
    <t xml:space="preserve">⁸ Πρόγραμμα e-pass</t>
  </si>
  <si>
    <t xml:space="preserve">Fast Pass Νέα Οδός Frequent All 2</t>
  </si>
  <si>
    <t xml:space="preserve">Έκπτωση ανά σταθμό, ανά ημερολογιακό μήνα: 1–5: 0%, 6–10: 5%, 11–20: 10%, 21–30: 15%, 31–40: 20%, 41–50: 40%, 51–60: 50%</t>
  </si>
  <si>
    <t xml:space="preserve">⁹ Εφαρμογή έκπτωσης</t>
  </si>
  <si>
    <t xml:space="preserve">Κλιμακωτή</t>
  </si>
  <si>
    <t xml:space="preserve">Κάθε ποσοστό μόνο για τις διελεύσεις της κλίμακάς του. Πλευρικός και μετωπικός Θήβας μετρούν ως ξεχωριστοί σταθμοί. Μετρούν και οι δύο κατευθύνσεις.</t>
  </si>
  <si>
    <t xml:space="preserve">¹⁰ Στρογγυλοποίηση</t>
  </si>
  <si>
    <t xml:space="preserve">± λίγα λεπτά</t>
  </si>
  <si>
    <t xml:space="preserve">Η χρέωση ανά διέλευση μπορεί να στρογγυλοποιείται διαφορετικά από τη Νέα Οδό.</t>
  </si>
  <si>
    <t xml:space="preserve">¹¹ Δεν περιλαμβάνονται</t>
  </si>
  <si>
    <t xml:space="preserve">Φθορά, service, ελαστικά, απόσβεση, χρόνος</t>
  </si>
  <si>
    <t xml:space="preserve">Το κόστος αφορά μόνο καύσιμα και διόδια.</t>
  </si>
  <si>
    <t xml:space="preserve">Παραδοχές υπολογισμού</t>
  </si>
  <si>
    <t xml:space="preserve">Μπλε κείμενο σε κίτρινο φόντο = στοιχεία εισόδου (μπορούν να αλλάξουν). Μαύρο = τύποι.</t>
  </si>
  <si>
    <t xml:space="preserve">Γενικά στοιχεία</t>
  </si>
  <si>
    <t xml:space="preserve">Στοιχείο</t>
  </si>
  <si>
    <t xml:space="preserve">Τιμή</t>
  </si>
  <si>
    <t xml:space="preserve">Μονάδα</t>
  </si>
  <si>
    <t xml:space="preserve">Πηγή / σχόλιο</t>
  </si>
  <si>
    <t xml:space="preserve">Αυτοκίνητο</t>
  </si>
  <si>
    <t xml:space="preserve">Toyota Yaris 2026 Hybrid 130</t>
  </si>
  <si>
    <t xml:space="preserve">Δήλωση χρήστη</t>
  </si>
  <si>
    <t xml:space="preserve">Ισχύς (ίπποι συστήματος)</t>
  </si>
  <si>
    <t xml:space="preserve">PS</t>
  </si>
  <si>
    <t xml:space="preserve">Τιμή βενζίνης 95 οκτανίων</t>
  </si>
  <si>
    <t xml:space="preserve">€/L</t>
  </si>
  <si>
    <t xml:space="preserve">Μέση τιμή περιόδου, δήλωση χρήστη</t>
  </si>
  <si>
    <t xml:space="preserve">Μέση κατανάλωση στη διαδρομή</t>
  </si>
  <si>
    <t xml:space="preserve">L/100 km</t>
  </si>
  <si>
    <t xml:space="preserve">Πραγματική κατανάλωση (όχι WLTP), δήλωση χρήστη</t>
  </si>
  <si>
    <t xml:space="preserve">Απόσταση ανά κατεύθυνση</t>
  </si>
  <si>
    <t xml:space="preserve">km</t>
  </si>
  <si>
    <t xml:space="preserve">Ίδια σε όλα τα σενάρια</t>
  </si>
  <si>
    <t xml:space="preserve">Πήγαινε–έλα ανά εβδομάδα</t>
  </si>
  <si>
    <t xml:space="preserve">διαδρομές</t>
  </si>
  <si>
    <t xml:space="preserve">Εβδομάδες ανά έτος</t>
  </si>
  <si>
    <t xml:space="preserve">εβδομάδες</t>
  </si>
  <si>
    <t xml:space="preserve">Πήγαινε–έλα ανά μέσο μήνα</t>
  </si>
  <si>
    <t xml:space="preserve">Πήγαινε–έλα/εβδομάδα × εβδομάδες / 12</t>
  </si>
  <si>
    <t xml:space="preserve">Χιλιόμετρα ανά πήγαινε–έλα</t>
  </si>
  <si>
    <t xml:space="preserve">2 × απόσταση ανά κατεύθυνση</t>
  </si>
  <si>
    <t xml:space="preserve">Κόστος καυσίμου ανά πήγαινε–έλα</t>
  </si>
  <si>
    <t xml:space="preserve">€</t>
  </si>
  <si>
    <t xml:space="preserve">km × κατανάλωση / 100 × τιμή βενζίνης</t>
  </si>
  <si>
    <t xml:space="preserve">Τιμές διοδίων Νέας Οδού (κατηγορία 2 – ΙΧ)</t>
  </si>
  <si>
    <t xml:space="preserve">Τύπος</t>
  </si>
  <si>
    <t xml:space="preserve">Πλευρικός Οινοφύτων</t>
  </si>
  <si>
    <t xml:space="preserve">Πλευρικός</t>
  </si>
  <si>
    <t xml:space="preserve">Τιμή επιβεβαιωμένη από τον χρήστη</t>
  </si>
  <si>
    <t xml:space="preserve">Πλευρικός Θήβας</t>
  </si>
  <si>
    <t xml:space="preserve">Μετωπικός Αφιδνών</t>
  </si>
  <si>
    <t xml:space="preserve">Μετωπικός</t>
  </si>
  <si>
    <t xml:space="preserve">Μετωπικός Θήβας</t>
  </si>
  <si>
    <t xml:space="preserve">Διελεύσεις ανά σταθμό σε ένα πήγαινε–έλα</t>
  </si>
  <si>
    <t xml:space="preserve">Σενάριο Α</t>
  </si>
  <si>
    <t xml:space="preserve">Σενάριο Β</t>
  </si>
  <si>
    <t xml:space="preserve">Σενάριο Γ</t>
  </si>
  <si>
    <t xml:space="preserve">Διόδια ανά πήγαινε–έλα χωρίς έκπτωση (€)</t>
  </si>
  <si>
    <t xml:space="preserve">Περιγραφή σεναρίων</t>
  </si>
  <si>
    <t xml:space="preserve">Αθήνα → Α1 → μετωπικός Αφιδνών → πλευρικός Θήβας → Λιβαδειά, και αντίστροφα</t>
  </si>
  <si>
    <t xml:space="preserve">Α1 με μετωπικούς Αφιδνών και Θήβας και στις δύο κατευθύνσεις</t>
  </si>
  <si>
    <t xml:space="preserve">Προς Λιβαδειά: πλευρικός Οινοφύτων + πλευρικός Θήβας. Προς Αθήνα: πλευρικός Θήβας + Α1 μέχρι Αθήνα με μετωπικό Αφιδνών</t>
  </si>
  <si>
    <t xml:space="preserve">Fast Pass Νέα Οδός – πρόγραμμα Frequent All 2</t>
  </si>
  <si>
    <t xml:space="preserve">Από διέλευση</t>
  </si>
  <si>
    <t xml:space="preserve">Έως διέλευση</t>
  </si>
  <si>
    <t xml:space="preserve">Έκπτωση</t>
  </si>
  <si>
    <t xml:space="preserve">Κλιμακωτή έκπτωση ανά πομποδέκτη, ανά ημερολογιακό μήνα και για κάθε σταθμό ξεχωριστά. Κάθε ποσοστό ισχύει μόνο για τις διελεύσεις της δικής του κλίμακας. Πηγή: fastpass.gr – Fast Pass Νέα Οδός Frequent All 2</t>
  </si>
  <si>
    <t xml:space="preserve">Υπολογισμός διοδίων με κλιμακωτή έκπτωση Frequent All 2</t>
  </si>
  <si>
    <t xml:space="preserve">Χρεώσιμες διελεύσεις = διελεύσεις − Σ(έκπτωση κλίμακας × διελεύσεις μέσα στην κλίμακα). Κόστος με έκπτωση = τιμή × χρεώσιμες διελεύσεις.</t>
  </si>
  <si>
    <t xml:space="preserve">Σενάριο Α – Αφίδνες → Πλευρ. Θήβας → Αφίδνες</t>
  </si>
  <si>
    <t xml:space="preserve">Σενάριο Β – Μετωπικά → Μετωπικά</t>
  </si>
  <si>
    <t xml:space="preserve">Σενάριο Γ – Πλευρικά → Πλευρ. Θήβας + Αφίδνες</t>
  </si>
  <si>
    <t xml:space="preserve">Διελεύσεις / μήνα</t>
  </si>
  <si>
    <t xml:space="preserve">Χρεώσιμες διελεύσεις</t>
  </si>
  <si>
    <t xml:space="preserve">Οι γραμμές 6–9 αφορούν τον μέσο μήνα (Παραδοχές). Οι γραμμές 10–25 αφορούν τους μήνες του πίνακα 3 της Σύνοψης.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</si>
</sst>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"/>
    <numFmt numFmtId="167" formatCode="0&quot; PS&quot;"/>
    <numFmt numFmtId="168" formatCode="0.00&quot; €/L&quot;"/>
    <numFmt numFmtId="169" formatCode="0.0&quot; L/100 km&quot;"/>
    <numFmt numFmtId="170" formatCode="0&quot; km&quot;"/>
    <numFmt numFmtId="171" formatCode="0&quot; πήγαινε–έλα/εβδ.&quot;"/>
    <numFmt numFmtId="172" formatCode="0.0"/>
    <numFmt numFmtId="173" formatCode="0%"/>
    <numFmt numFmtId="174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6" min="4" style="1" width="16"/>
    <col collapsed="false" customWidth="true" hidden="false" outlineLevel="0" max="11" min="7" style="1" width="13"/>
  </cols>
  <sheetData>
    <row r="1" customFormat="false" ht="18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4.2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4.25" hidden="false" customHeight="true" outlineLevel="0" collapsed="false">
      <c r="A4" s="5" t="str">
        <f aca="false">"1. Τελική σύγκριση – μέσος μήνας ("&amp;Παραδοχές!C12&amp;" πήγαινε–έλα)"</f>
        <v>1. Τελική σύγκριση – μέσος μήνας (13 πήγαινε–έλα)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1.5" hidden="false" customHeight="true" outlineLevel="0" collapsed="false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3"/>
      <c r="J5" s="3"/>
      <c r="K5" s="3"/>
    </row>
    <row r="6" customFormat="false" ht="27.75" hidden="false" customHeight="true" outlineLevel="0" collapsed="false">
      <c r="A6" s="7" t="s">
        <v>10</v>
      </c>
      <c r="B6" s="8" t="s">
        <v>11</v>
      </c>
      <c r="C6" s="9" t="n">
        <f aca="false">Παραδοχές!$C$14*Παραδοχές!$C$12</f>
        <v>396.2946</v>
      </c>
      <c r="D6" s="9" t="n">
        <f aca="false">SUM('Υπολογισμός διοδίων'!E6:E9)</f>
        <v>148.2</v>
      </c>
      <c r="E6" s="9" t="n">
        <f aca="false">SUM('Υπολογισμός διοδίων'!G6:G9)</f>
        <v>135.945</v>
      </c>
      <c r="F6" s="10" t="n">
        <f aca="false">C6+E6</f>
        <v>532.2396</v>
      </c>
      <c r="G6" s="11" t="n">
        <f aca="false">F6-$F$7</f>
        <v>34.5</v>
      </c>
      <c r="H6" s="11" t="n">
        <f aca="false">F6*12</f>
        <v>6386.8752</v>
      </c>
      <c r="I6" s="3"/>
      <c r="J6" s="3"/>
      <c r="K6" s="3"/>
    </row>
    <row r="7" customFormat="false" ht="27.75" hidden="false" customHeight="true" outlineLevel="0" collapsed="false">
      <c r="A7" s="7" t="s">
        <v>12</v>
      </c>
      <c r="B7" s="8" t="s">
        <v>13</v>
      </c>
      <c r="C7" s="9" t="n">
        <f aca="false">Παραδοχές!$C$14*Παραδοχές!$C$12</f>
        <v>396.2946</v>
      </c>
      <c r="D7" s="9" t="n">
        <f aca="false">SUM('Υπολογισμός διοδίων'!M6:M9)</f>
        <v>107.9</v>
      </c>
      <c r="E7" s="9" t="n">
        <f aca="false">SUM('Υπολογισμός διοδίων'!O6:O9)</f>
        <v>101.445</v>
      </c>
      <c r="F7" s="10" t="n">
        <f aca="false">C7+E7</f>
        <v>497.7396</v>
      </c>
      <c r="G7" s="11" t="n">
        <f aca="false">F7-$F$7</f>
        <v>0</v>
      </c>
      <c r="H7" s="11" t="n">
        <f aca="false">F7*12</f>
        <v>5972.8752</v>
      </c>
      <c r="I7" s="3"/>
      <c r="J7" s="3"/>
      <c r="K7" s="3"/>
    </row>
    <row r="8" customFormat="false" ht="27.75" hidden="false" customHeight="true" outlineLevel="0" collapsed="false">
      <c r="A8" s="7" t="s">
        <v>14</v>
      </c>
      <c r="B8" s="8" t="s">
        <v>15</v>
      </c>
      <c r="C8" s="9" t="n">
        <f aca="false">Παραδοχές!$C$14*Παραδοχές!$C$12</f>
        <v>396.2946</v>
      </c>
      <c r="D8" s="9" t="n">
        <f aca="false">SUM('Υπολογισμός διοδίων'!I6:I9)</f>
        <v>219.7</v>
      </c>
      <c r="E8" s="9" t="n">
        <f aca="false">SUM('Υπολογισμός διοδίων'!K6:K9)</f>
        <v>201.5325</v>
      </c>
      <c r="F8" s="10" t="n">
        <f aca="false">C8+E8</f>
        <v>597.8271</v>
      </c>
      <c r="G8" s="11" t="n">
        <f aca="false">F8-$F$7</f>
        <v>100.0875</v>
      </c>
      <c r="H8" s="11" t="n">
        <f aca="false">F8*12</f>
        <v>7173.9252</v>
      </c>
      <c r="I8" s="3"/>
      <c r="J8" s="3"/>
      <c r="K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4.25" hidden="false" customHeight="true" outlineLevel="0" collapsed="false">
      <c r="A10" s="5" t="str">
        <f aca="false">"2. Διόδια ανά σταθμό – μέσος μήνας ("&amp;Παραδοχές!C12&amp;" πήγαινε–έλα)"</f>
        <v>2. Διόδια ανά σταθμό – μέσος μήνας (13 πήγαινε–έλα)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4.25" hidden="false" customHeight="true" outlineLevel="0" collapsed="false">
      <c r="A11" s="6" t="s">
        <v>16</v>
      </c>
      <c r="B11" s="6" t="s">
        <v>17</v>
      </c>
      <c r="C11" s="6" t="s">
        <v>10</v>
      </c>
      <c r="D11" s="6"/>
      <c r="E11" s="6"/>
      <c r="F11" s="6" t="s">
        <v>12</v>
      </c>
      <c r="G11" s="6"/>
      <c r="H11" s="6"/>
      <c r="I11" s="6" t="s">
        <v>14</v>
      </c>
      <c r="J11" s="6"/>
      <c r="K11" s="6"/>
    </row>
    <row r="12" customFormat="false" ht="30" hidden="false" customHeight="true" outlineLevel="0" collapsed="false">
      <c r="A12" s="6"/>
      <c r="B12" s="6"/>
      <c r="C12" s="6" t="s">
        <v>18</v>
      </c>
      <c r="D12" s="6" t="s">
        <v>19</v>
      </c>
      <c r="E12" s="6" t="s">
        <v>20</v>
      </c>
      <c r="F12" s="6" t="s">
        <v>18</v>
      </c>
      <c r="G12" s="6" t="s">
        <v>19</v>
      </c>
      <c r="H12" s="6" t="s">
        <v>20</v>
      </c>
      <c r="I12" s="6" t="s">
        <v>18</v>
      </c>
      <c r="J12" s="6" t="s">
        <v>19</v>
      </c>
      <c r="K12" s="6" t="s">
        <v>20</v>
      </c>
    </row>
    <row r="13" customFormat="false" ht="14.25" hidden="false" customHeight="true" outlineLevel="0" collapsed="false">
      <c r="A13" s="12" t="str">
        <f aca="false">Παραδοχές!B18</f>
        <v>Πλευρικός Οινοφύτων</v>
      </c>
      <c r="B13" s="9" t="n">
        <f aca="false">Παραδοχές!C18</f>
        <v>0.8</v>
      </c>
      <c r="C13" s="13" t="n">
        <f aca="false">'Υπολογισμός διοδίων'!D6</f>
        <v>0</v>
      </c>
      <c r="D13" s="9" t="n">
        <f aca="false">'Υπολογισμός διοδίων'!E6</f>
        <v>0</v>
      </c>
      <c r="E13" s="9" t="n">
        <f aca="false">'Υπολογισμός διοδίων'!G6</f>
        <v>0</v>
      </c>
      <c r="F13" s="13" t="n">
        <f aca="false">'Υπολογισμός διοδίων'!L6</f>
        <v>13</v>
      </c>
      <c r="G13" s="9" t="n">
        <f aca="false">'Υπολογισμός διοδίων'!M6</f>
        <v>10.4</v>
      </c>
      <c r="H13" s="9" t="n">
        <f aca="false">'Υπολογισμός διοδίων'!O6</f>
        <v>9.96</v>
      </c>
      <c r="I13" s="13" t="n">
        <f aca="false">'Υπολογισμός διοδίων'!H6</f>
        <v>0</v>
      </c>
      <c r="J13" s="9" t="n">
        <f aca="false">'Υπολογισμός διοδίων'!I6</f>
        <v>0</v>
      </c>
      <c r="K13" s="9" t="n">
        <f aca="false">'Υπολογισμός διοδίων'!K6</f>
        <v>0</v>
      </c>
    </row>
    <row r="14" customFormat="false" ht="14.25" hidden="false" customHeight="true" outlineLevel="0" collapsed="false">
      <c r="A14" s="12" t="str">
        <f aca="false">Παραδοχές!B19</f>
        <v>Πλευρικός Θήβας</v>
      </c>
      <c r="B14" s="9" t="n">
        <f aca="false">Παραδοχές!C19</f>
        <v>1.8</v>
      </c>
      <c r="C14" s="13" t="n">
        <f aca="false">'Υπολογισμός διοδίων'!D7</f>
        <v>26</v>
      </c>
      <c r="D14" s="9" t="n">
        <f aca="false">'Υπολογισμός διοδίων'!E7</f>
        <v>46.8</v>
      </c>
      <c r="E14" s="9" t="n">
        <f aca="false">'Υπολογισμός διοδίων'!G7</f>
        <v>42.93</v>
      </c>
      <c r="F14" s="13" t="n">
        <f aca="false">'Υπολογισμός διοδίων'!L7</f>
        <v>26</v>
      </c>
      <c r="G14" s="9" t="n">
        <f aca="false">'Υπολογισμός διοδίων'!M7</f>
        <v>46.8</v>
      </c>
      <c r="H14" s="9" t="n">
        <f aca="false">'Υπολογισμός διοδίων'!O7</f>
        <v>42.93</v>
      </c>
      <c r="I14" s="13" t="n">
        <f aca="false">'Υπολογισμός διοδίων'!H7</f>
        <v>0</v>
      </c>
      <c r="J14" s="9" t="n">
        <f aca="false">'Υπολογισμός διοδίων'!I7</f>
        <v>0</v>
      </c>
      <c r="K14" s="9" t="n">
        <f aca="false">'Υπολογισμός διοδίων'!K7</f>
        <v>0</v>
      </c>
    </row>
    <row r="15" customFormat="false" ht="14.25" hidden="false" customHeight="true" outlineLevel="0" collapsed="false">
      <c r="A15" s="12" t="str">
        <f aca="false">Παραδοχές!B20</f>
        <v>Μετωπικός Αφιδνών</v>
      </c>
      <c r="B15" s="9" t="n">
        <f aca="false">Παραδοχές!C20</f>
        <v>3.9</v>
      </c>
      <c r="C15" s="13" t="n">
        <f aca="false">'Υπολογισμός διοδίων'!D8</f>
        <v>26</v>
      </c>
      <c r="D15" s="9" t="n">
        <f aca="false">'Υπολογισμός διοδίων'!E8</f>
        <v>101.4</v>
      </c>
      <c r="E15" s="9" t="n">
        <f aca="false">'Υπολογισμός διοδίων'!G8</f>
        <v>93.015</v>
      </c>
      <c r="F15" s="13" t="n">
        <f aca="false">'Υπολογισμός διοδίων'!L8</f>
        <v>13</v>
      </c>
      <c r="G15" s="9" t="n">
        <f aca="false">'Υπολογισμός διοδίων'!M8</f>
        <v>50.7</v>
      </c>
      <c r="H15" s="9" t="n">
        <f aca="false">'Υπολογισμός διοδίων'!O8</f>
        <v>48.555</v>
      </c>
      <c r="I15" s="13" t="n">
        <f aca="false">'Υπολογισμός διοδίων'!H8</f>
        <v>26</v>
      </c>
      <c r="J15" s="9" t="n">
        <f aca="false">'Υπολογισμός διοδίων'!I8</f>
        <v>101.4</v>
      </c>
      <c r="K15" s="9" t="n">
        <f aca="false">'Υπολογισμός διοδίων'!K8</f>
        <v>93.015</v>
      </c>
    </row>
    <row r="16" customFormat="false" ht="14.25" hidden="false" customHeight="true" outlineLevel="0" collapsed="false">
      <c r="A16" s="12" t="str">
        <f aca="false">Παραδοχές!B21</f>
        <v>Μετωπικός Θήβας</v>
      </c>
      <c r="B16" s="9" t="n">
        <f aca="false">Παραδοχές!C21</f>
        <v>4.55</v>
      </c>
      <c r="C16" s="13" t="n">
        <f aca="false">'Υπολογισμός διοδίων'!D9</f>
        <v>0</v>
      </c>
      <c r="D16" s="9" t="n">
        <f aca="false">'Υπολογισμός διοδίων'!E9</f>
        <v>0</v>
      </c>
      <c r="E16" s="9" t="n">
        <f aca="false">'Υπολογισμός διοδίων'!G9</f>
        <v>0</v>
      </c>
      <c r="F16" s="13" t="n">
        <f aca="false">'Υπολογισμός διοδίων'!L9</f>
        <v>0</v>
      </c>
      <c r="G16" s="9" t="n">
        <f aca="false">'Υπολογισμός διοδίων'!M9</f>
        <v>0</v>
      </c>
      <c r="H16" s="9" t="n">
        <f aca="false">'Υπολογισμός διοδίων'!O9</f>
        <v>0</v>
      </c>
      <c r="I16" s="13" t="n">
        <f aca="false">'Υπολογισμός διοδίων'!H9</f>
        <v>26</v>
      </c>
      <c r="J16" s="9" t="n">
        <f aca="false">'Υπολογισμός διοδίων'!I9</f>
        <v>118.3</v>
      </c>
      <c r="K16" s="9" t="n">
        <f aca="false">'Υπολογισμός διοδίων'!K9</f>
        <v>108.5175</v>
      </c>
    </row>
    <row r="17" customFormat="false" ht="14.25" hidden="false" customHeight="true" outlineLevel="0" collapsed="false">
      <c r="A17" s="14" t="s">
        <v>21</v>
      </c>
      <c r="B17" s="15"/>
      <c r="C17" s="15"/>
      <c r="D17" s="16" t="n">
        <f aca="false">SUM(D13:D16)</f>
        <v>148.2</v>
      </c>
      <c r="E17" s="16" t="n">
        <f aca="false">SUM(E13:E16)</f>
        <v>135.945</v>
      </c>
      <c r="F17" s="15"/>
      <c r="G17" s="16" t="n">
        <f aca="false">SUM(G13:G16)</f>
        <v>107.9</v>
      </c>
      <c r="H17" s="16" t="n">
        <f aca="false">SUM(H13:H16)</f>
        <v>101.445</v>
      </c>
      <c r="I17" s="15"/>
      <c r="J17" s="16" t="n">
        <f aca="false">SUM(J13:J16)</f>
        <v>219.7</v>
      </c>
      <c r="K17" s="16" t="n">
        <f aca="false">SUM(K13:K16)</f>
        <v>201.5325</v>
      </c>
    </row>
    <row r="18" customFormat="false" ht="14.2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4.25" hidden="false" customHeight="true" outlineLevel="0" collapsed="false">
      <c r="A19" s="5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43.5" hidden="false" customHeight="true" outlineLevel="0" collapsed="false">
      <c r="A20" s="6" t="s">
        <v>23</v>
      </c>
      <c r="B20" s="6" t="s">
        <v>24</v>
      </c>
      <c r="C20" s="6" t="s">
        <v>4</v>
      </c>
      <c r="D20" s="6" t="s">
        <v>25</v>
      </c>
      <c r="E20" s="6" t="s">
        <v>26</v>
      </c>
      <c r="F20" s="6" t="s">
        <v>27</v>
      </c>
      <c r="G20" s="6" t="s">
        <v>28</v>
      </c>
      <c r="H20" s="6" t="s">
        <v>29</v>
      </c>
      <c r="I20" s="3"/>
      <c r="J20" s="3"/>
      <c r="K20" s="3"/>
    </row>
    <row r="21" customFormat="false" ht="14.25" hidden="false" customHeight="true" outlineLevel="0" collapsed="false">
      <c r="A21" s="17" t="s">
        <v>30</v>
      </c>
      <c r="B21" s="18" t="n">
        <v>12</v>
      </c>
      <c r="C21" s="11" t="n">
        <f aca="false">B21*Παραδοχές!$C$14</f>
        <v>365.8104</v>
      </c>
      <c r="D21" s="10" t="n">
        <f aca="false">C21+SUM('Υπολογισμός διοδίων'!G10:G13)</f>
        <v>492.0654</v>
      </c>
      <c r="E21" s="10" t="n">
        <f aca="false">C21+SUM('Υπολογισμός διοδίων'!O10:O13)</f>
        <v>459.9654</v>
      </c>
      <c r="F21" s="10" t="n">
        <f aca="false">C21+SUM('Υπολογισμός διοδίων'!K10:K13)</f>
        <v>552.9779</v>
      </c>
      <c r="G21" s="11" t="n">
        <f aca="false">D21-E21</f>
        <v>32.1</v>
      </c>
      <c r="H21" s="11" t="n">
        <f aca="false">F21-E21</f>
        <v>93.0124999999999</v>
      </c>
      <c r="I21" s="3"/>
      <c r="J21" s="3"/>
      <c r="K21" s="3"/>
    </row>
    <row r="22" customFormat="false" ht="14.25" hidden="false" customHeight="true" outlineLevel="0" collapsed="false">
      <c r="A22" s="17" t="s">
        <v>31</v>
      </c>
      <c r="B22" s="18" t="n">
        <v>13</v>
      </c>
      <c r="C22" s="11" t="n">
        <f aca="false">B22*Παραδοχές!$C$14</f>
        <v>396.2946</v>
      </c>
      <c r="D22" s="10" t="n">
        <f aca="false">C22+SUM('Υπολογισμός διοδίων'!G14:G17)</f>
        <v>532.2396</v>
      </c>
      <c r="E22" s="10" t="n">
        <f aca="false">C22+SUM('Υπολογισμός διοδίων'!O14:O17)</f>
        <v>497.7396</v>
      </c>
      <c r="F22" s="10" t="n">
        <f aca="false">C22+SUM('Υπολογισμός διοδίων'!K14:K17)</f>
        <v>597.8271</v>
      </c>
      <c r="G22" s="11" t="n">
        <f aca="false">D22-E22</f>
        <v>34.5</v>
      </c>
      <c r="H22" s="11" t="n">
        <f aca="false">F22-E22</f>
        <v>100.0875</v>
      </c>
      <c r="I22" s="3"/>
      <c r="J22" s="3"/>
      <c r="K22" s="3"/>
    </row>
    <row r="23" customFormat="false" ht="14.25" hidden="false" customHeight="true" outlineLevel="0" collapsed="false">
      <c r="A23" s="17" t="s">
        <v>32</v>
      </c>
      <c r="B23" s="18" t="n">
        <v>14</v>
      </c>
      <c r="C23" s="11" t="n">
        <f aca="false">B23*Παραδοχές!$C$14</f>
        <v>426.7788</v>
      </c>
      <c r="D23" s="10" t="n">
        <f aca="false">C23+SUM('Υπολογισμός διοδίων'!G18:G21)</f>
        <v>572.4138</v>
      </c>
      <c r="E23" s="10" t="n">
        <f aca="false">C23+SUM('Υπολογισμός διοδίων'!O18:O21)</f>
        <v>535.5138</v>
      </c>
      <c r="F23" s="10" t="n">
        <f aca="false">C23+SUM('Υπολογισμός διοδίων'!K18:K21)</f>
        <v>642.6763</v>
      </c>
      <c r="G23" s="11" t="n">
        <f aca="false">D23-E23</f>
        <v>36.9</v>
      </c>
      <c r="H23" s="11" t="n">
        <f aca="false">F23-E23</f>
        <v>107.1625</v>
      </c>
      <c r="I23" s="3"/>
      <c r="J23" s="3"/>
      <c r="K23" s="3"/>
    </row>
    <row r="24" customFormat="false" ht="14.25" hidden="false" customHeight="true" outlineLevel="0" collapsed="false">
      <c r="A24" s="17" t="s">
        <v>33</v>
      </c>
      <c r="B24" s="18" t="n">
        <v>15</v>
      </c>
      <c r="C24" s="11" t="n">
        <f aca="false">B24*Παραδοχές!$C$14</f>
        <v>457.263</v>
      </c>
      <c r="D24" s="10" t="n">
        <f aca="false">C24+SUM('Υπολογισμός διοδίων'!G22:G25)</f>
        <v>612.588</v>
      </c>
      <c r="E24" s="10" t="n">
        <f aca="false">C24+SUM('Υπολογισμός διοδίων'!O22:O25)</f>
        <v>573.288</v>
      </c>
      <c r="F24" s="10" t="n">
        <f aca="false">C24+SUM('Υπολογισμός διοδίων'!K22:K25)</f>
        <v>687.5255</v>
      </c>
      <c r="G24" s="11" t="n">
        <f aca="false">D24-E24</f>
        <v>39.3</v>
      </c>
      <c r="H24" s="11" t="n">
        <f aca="false">F24-E24</f>
        <v>114.2375</v>
      </c>
      <c r="I24" s="3"/>
      <c r="J24" s="3"/>
      <c r="K24" s="3"/>
    </row>
    <row r="25" customFormat="false" ht="14.25" hidden="false" customHeight="true" outlineLevel="0" collapsed="false">
      <c r="A25" s="4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4.25" hidden="false" customHeight="true" outlineLevel="0" collapsed="false">
      <c r="A27" s="5" t="s">
        <v>35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4.25" hidden="false" customHeight="true" outlineLevel="0" collapsed="false">
      <c r="A28" s="19" t="s">
        <v>36</v>
      </c>
      <c r="B28" s="20" t="str">
        <f aca="false">Παραδοχές!C5</f>
        <v>Toyota Yaris 2026 Hybrid 130</v>
      </c>
      <c r="C28" s="21"/>
      <c r="D28" s="21"/>
      <c r="E28" s="21"/>
      <c r="F28" s="21"/>
      <c r="G28" s="21"/>
      <c r="H28" s="21"/>
      <c r="I28" s="21"/>
      <c r="J28" s="3"/>
      <c r="K28" s="3"/>
    </row>
    <row r="29" customFormat="false" ht="14.25" hidden="false" customHeight="true" outlineLevel="0" collapsed="false">
      <c r="A29" s="19" t="s">
        <v>37</v>
      </c>
      <c r="B29" s="22" t="n">
        <f aca="false">Παραδοχές!C6</f>
        <v>130</v>
      </c>
      <c r="C29" s="21" t="s">
        <v>38</v>
      </c>
      <c r="D29" s="21"/>
      <c r="E29" s="21"/>
      <c r="F29" s="21"/>
      <c r="G29" s="21"/>
      <c r="H29" s="21"/>
      <c r="I29" s="21"/>
      <c r="J29" s="3"/>
      <c r="K29" s="3"/>
    </row>
    <row r="30" customFormat="false" ht="14.25" hidden="false" customHeight="true" outlineLevel="0" collapsed="false">
      <c r="A30" s="19" t="s">
        <v>39</v>
      </c>
      <c r="B30" s="23" t="n">
        <f aca="false">Παραδοχές!C7</f>
        <v>2.3</v>
      </c>
      <c r="C30" s="21" t="s">
        <v>40</v>
      </c>
      <c r="D30" s="21"/>
      <c r="E30" s="21"/>
      <c r="F30" s="21"/>
      <c r="G30" s="21"/>
      <c r="H30" s="21"/>
      <c r="I30" s="21"/>
      <c r="J30" s="3"/>
      <c r="K30" s="3"/>
    </row>
    <row r="31" customFormat="false" ht="14.25" hidden="false" customHeight="true" outlineLevel="0" collapsed="false">
      <c r="A31" s="19" t="s">
        <v>41</v>
      </c>
      <c r="B31" s="24" t="n">
        <f aca="false">Παραδοχές!C8</f>
        <v>4.7</v>
      </c>
      <c r="C31" s="21" t="s">
        <v>42</v>
      </c>
      <c r="D31" s="21"/>
      <c r="E31" s="21"/>
      <c r="F31" s="21"/>
      <c r="G31" s="21"/>
      <c r="H31" s="21"/>
      <c r="I31" s="21"/>
      <c r="J31" s="3"/>
      <c r="K31" s="3"/>
    </row>
    <row r="32" customFormat="false" ht="14.25" hidden="false" customHeight="true" outlineLevel="0" collapsed="false">
      <c r="A32" s="19" t="s">
        <v>43</v>
      </c>
      <c r="B32" s="25" t="n">
        <f aca="false">Παραδοχές!C9</f>
        <v>141</v>
      </c>
      <c r="C32" s="21" t="s">
        <v>44</v>
      </c>
      <c r="D32" s="21"/>
      <c r="E32" s="21"/>
      <c r="F32" s="21"/>
      <c r="G32" s="21"/>
      <c r="H32" s="21"/>
      <c r="I32" s="21"/>
      <c r="J32" s="3"/>
      <c r="K32" s="3"/>
    </row>
    <row r="33" customFormat="false" ht="14.25" hidden="false" customHeight="true" outlineLevel="0" collapsed="false">
      <c r="A33" s="19" t="s">
        <v>45</v>
      </c>
      <c r="B33" s="26" t="n">
        <f aca="false">Παραδοχές!C10</f>
        <v>3</v>
      </c>
      <c r="C33" s="21" t="s">
        <v>46</v>
      </c>
      <c r="D33" s="21"/>
      <c r="E33" s="21"/>
      <c r="F33" s="21"/>
      <c r="G33" s="21"/>
      <c r="H33" s="21"/>
      <c r="I33" s="21"/>
      <c r="J33" s="3"/>
      <c r="K33" s="3"/>
    </row>
    <row r="34" customFormat="false" ht="14.25" hidden="false" customHeight="true" outlineLevel="0" collapsed="false">
      <c r="A34" s="19" t="s">
        <v>47</v>
      </c>
      <c r="B34" s="27" t="s">
        <v>48</v>
      </c>
      <c r="C34" s="21" t="s">
        <v>49</v>
      </c>
      <c r="D34" s="21"/>
      <c r="E34" s="21"/>
      <c r="F34" s="21"/>
      <c r="G34" s="21"/>
      <c r="H34" s="21"/>
      <c r="I34" s="21"/>
      <c r="J34" s="3"/>
      <c r="K34" s="3"/>
    </row>
    <row r="35" customFormat="false" ht="24" hidden="false" customHeight="true" outlineLevel="0" collapsed="false">
      <c r="A35" s="19" t="s">
        <v>50</v>
      </c>
      <c r="B35" s="27" t="s">
        <v>51</v>
      </c>
      <c r="C35" s="21" t="s">
        <v>52</v>
      </c>
      <c r="D35" s="21"/>
      <c r="E35" s="21"/>
      <c r="F35" s="21"/>
      <c r="G35" s="21"/>
      <c r="H35" s="21"/>
      <c r="I35" s="21"/>
      <c r="J35" s="3"/>
      <c r="K35" s="3"/>
    </row>
    <row r="36" customFormat="false" ht="24" hidden="false" customHeight="true" outlineLevel="0" collapsed="false">
      <c r="A36" s="19" t="s">
        <v>53</v>
      </c>
      <c r="B36" s="27" t="s">
        <v>54</v>
      </c>
      <c r="C36" s="21" t="s">
        <v>55</v>
      </c>
      <c r="D36" s="21"/>
      <c r="E36" s="21"/>
      <c r="F36" s="21"/>
      <c r="G36" s="21"/>
      <c r="H36" s="21"/>
      <c r="I36" s="21"/>
      <c r="J36" s="3"/>
      <c r="K36" s="3"/>
    </row>
    <row r="37" customFormat="false" ht="14.25" hidden="false" customHeight="true" outlineLevel="0" collapsed="false">
      <c r="A37" s="19" t="s">
        <v>56</v>
      </c>
      <c r="B37" s="27" t="s">
        <v>57</v>
      </c>
      <c r="C37" s="21" t="s">
        <v>58</v>
      </c>
      <c r="D37" s="21"/>
      <c r="E37" s="21"/>
      <c r="F37" s="21"/>
      <c r="G37" s="21"/>
      <c r="H37" s="21"/>
      <c r="I37" s="21"/>
      <c r="J37" s="3"/>
      <c r="K37" s="3"/>
    </row>
    <row r="38" customFormat="false" ht="14.25" hidden="false" customHeight="true" outlineLevel="0" collapsed="false">
      <c r="A38" s="19" t="s">
        <v>59</v>
      </c>
      <c r="B38" s="27" t="s">
        <v>60</v>
      </c>
      <c r="C38" s="21" t="s">
        <v>61</v>
      </c>
      <c r="D38" s="21"/>
      <c r="E38" s="21"/>
      <c r="F38" s="21"/>
      <c r="G38" s="21"/>
      <c r="H38" s="21"/>
      <c r="I38" s="21"/>
      <c r="J38" s="3"/>
      <c r="K38" s="3"/>
    </row>
  </sheetData>
  <mergeCells count="16">
    <mergeCell ref="A11:A12"/>
    <mergeCell ref="B11:B12"/>
    <mergeCell ref="C11:E11"/>
    <mergeCell ref="F11:H11"/>
    <mergeCell ref="I11:K11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C38:I38"/>
  </mergeCells>
  <conditionalFormatting sqref="A6:H8">
    <cfRule type="expression" priority="2" aboveAverage="0" equalAverage="0" bottom="0" percent="0" rank="0" text="" dxfId="0">
      <formula>$F6=MIN($F$6:$F$8)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52"/>
  </cols>
  <sheetData>
    <row r="1" customFormat="false" ht="17.25" hidden="false" customHeight="true" outlineLevel="0" collapsed="false">
      <c r="A1" s="3"/>
      <c r="B1" s="28" t="s">
        <v>62</v>
      </c>
      <c r="C1" s="3"/>
      <c r="D1" s="3"/>
      <c r="E1" s="3"/>
    </row>
    <row r="2" customFormat="false" ht="14.25" hidden="false" customHeight="true" outlineLevel="0" collapsed="false">
      <c r="A2" s="3"/>
      <c r="B2" s="4" t="s">
        <v>63</v>
      </c>
      <c r="C2" s="3"/>
      <c r="D2" s="3"/>
      <c r="E2" s="3"/>
    </row>
    <row r="3" customFormat="false" ht="14.25" hidden="false" customHeight="true" outlineLevel="0" collapsed="false">
      <c r="A3" s="3"/>
      <c r="B3" s="5" t="s">
        <v>64</v>
      </c>
      <c r="C3" s="3"/>
      <c r="D3" s="3"/>
      <c r="E3" s="3"/>
    </row>
    <row r="4" customFormat="false" ht="14.25" hidden="false" customHeight="true" outlineLevel="0" collapsed="false">
      <c r="A4" s="3"/>
      <c r="B4" s="6" t="s">
        <v>65</v>
      </c>
      <c r="C4" s="6" t="s">
        <v>66</v>
      </c>
      <c r="D4" s="6" t="s">
        <v>67</v>
      </c>
      <c r="E4" s="6" t="s">
        <v>68</v>
      </c>
    </row>
    <row r="5" customFormat="false" ht="14.25" hidden="false" customHeight="true" outlineLevel="0" collapsed="false">
      <c r="A5" s="3"/>
      <c r="B5" s="17" t="s">
        <v>69</v>
      </c>
      <c r="C5" s="29" t="s">
        <v>70</v>
      </c>
      <c r="D5" s="17"/>
      <c r="E5" s="30" t="s">
        <v>71</v>
      </c>
    </row>
    <row r="6" customFormat="false" ht="14.25" hidden="false" customHeight="true" outlineLevel="0" collapsed="false">
      <c r="A6" s="3"/>
      <c r="B6" s="17" t="s">
        <v>72</v>
      </c>
      <c r="C6" s="31" t="n">
        <v>130</v>
      </c>
      <c r="D6" s="17" t="s">
        <v>73</v>
      </c>
      <c r="E6" s="30" t="s">
        <v>38</v>
      </c>
    </row>
    <row r="7" customFormat="false" ht="14.25" hidden="false" customHeight="true" outlineLevel="0" collapsed="false">
      <c r="A7" s="3"/>
      <c r="B7" s="17" t="s">
        <v>74</v>
      </c>
      <c r="C7" s="32" t="n">
        <v>2.3</v>
      </c>
      <c r="D7" s="17" t="s">
        <v>75</v>
      </c>
      <c r="E7" s="30" t="s">
        <v>76</v>
      </c>
    </row>
    <row r="8" customFormat="false" ht="14.25" hidden="false" customHeight="true" outlineLevel="0" collapsed="false">
      <c r="A8" s="3"/>
      <c r="B8" s="17" t="s">
        <v>77</v>
      </c>
      <c r="C8" s="33" t="n">
        <v>4.7</v>
      </c>
      <c r="D8" s="17" t="s">
        <v>78</v>
      </c>
      <c r="E8" s="30" t="s">
        <v>79</v>
      </c>
    </row>
    <row r="9" customFormat="false" ht="14.25" hidden="false" customHeight="true" outlineLevel="0" collapsed="false">
      <c r="A9" s="3"/>
      <c r="B9" s="17" t="s">
        <v>80</v>
      </c>
      <c r="C9" s="31" t="n">
        <v>141</v>
      </c>
      <c r="D9" s="17" t="s">
        <v>81</v>
      </c>
      <c r="E9" s="30" t="s">
        <v>82</v>
      </c>
    </row>
    <row r="10" customFormat="false" ht="14.25" hidden="false" customHeight="true" outlineLevel="0" collapsed="false">
      <c r="A10" s="3"/>
      <c r="B10" s="17" t="s">
        <v>83</v>
      </c>
      <c r="C10" s="31" t="n">
        <v>3</v>
      </c>
      <c r="D10" s="17" t="s">
        <v>84</v>
      </c>
      <c r="E10" s="30" t="s">
        <v>71</v>
      </c>
    </row>
    <row r="11" customFormat="false" ht="14.25" hidden="false" customHeight="true" outlineLevel="0" collapsed="false">
      <c r="A11" s="3"/>
      <c r="B11" s="17" t="s">
        <v>85</v>
      </c>
      <c r="C11" s="31" t="n">
        <v>52</v>
      </c>
      <c r="D11" s="17" t="s">
        <v>86</v>
      </c>
      <c r="E11" s="30"/>
    </row>
    <row r="12" customFormat="false" ht="14.25" hidden="false" customHeight="true" outlineLevel="0" collapsed="false">
      <c r="A12" s="3"/>
      <c r="B12" s="17" t="s">
        <v>87</v>
      </c>
      <c r="C12" s="34" t="n">
        <f aca="false">ROUND(C10*C11/12,0)</f>
        <v>13</v>
      </c>
      <c r="D12" s="17" t="s">
        <v>84</v>
      </c>
      <c r="E12" s="30" t="s">
        <v>88</v>
      </c>
    </row>
    <row r="13" customFormat="false" ht="14.25" hidden="false" customHeight="true" outlineLevel="0" collapsed="false">
      <c r="A13" s="3"/>
      <c r="B13" s="17" t="s">
        <v>89</v>
      </c>
      <c r="C13" s="34" t="n">
        <f aca="false">2*C9</f>
        <v>282</v>
      </c>
      <c r="D13" s="17" t="s">
        <v>81</v>
      </c>
      <c r="E13" s="30" t="s">
        <v>90</v>
      </c>
    </row>
    <row r="14" customFormat="false" ht="14.25" hidden="false" customHeight="true" outlineLevel="0" collapsed="false">
      <c r="A14" s="3"/>
      <c r="B14" s="17" t="s">
        <v>91</v>
      </c>
      <c r="C14" s="11" t="n">
        <f aca="false">C13*C8/100*C7</f>
        <v>30.4842</v>
      </c>
      <c r="D14" s="17" t="s">
        <v>92</v>
      </c>
      <c r="E14" s="30" t="s">
        <v>93</v>
      </c>
    </row>
    <row r="15" customFormat="false" ht="14.25" hidden="false" customHeight="true" outlineLevel="0" collapsed="false">
      <c r="A15" s="3"/>
      <c r="B15" s="3"/>
      <c r="C15" s="3"/>
      <c r="D15" s="3"/>
      <c r="E15" s="3"/>
    </row>
    <row r="16" customFormat="false" ht="14.25" hidden="false" customHeight="true" outlineLevel="0" collapsed="false">
      <c r="A16" s="3"/>
      <c r="B16" s="5" t="s">
        <v>94</v>
      </c>
      <c r="C16" s="3"/>
      <c r="D16" s="3"/>
      <c r="E16" s="3"/>
    </row>
    <row r="17" customFormat="false" ht="14.25" hidden="false" customHeight="true" outlineLevel="0" collapsed="false">
      <c r="A17" s="3"/>
      <c r="B17" s="6" t="s">
        <v>16</v>
      </c>
      <c r="C17" s="6" t="s">
        <v>17</v>
      </c>
      <c r="D17" s="6" t="s">
        <v>95</v>
      </c>
      <c r="E17" s="6" t="s">
        <v>68</v>
      </c>
    </row>
    <row r="18" customFormat="false" ht="14.25" hidden="false" customHeight="true" outlineLevel="0" collapsed="false">
      <c r="A18" s="3"/>
      <c r="B18" s="17" t="s">
        <v>96</v>
      </c>
      <c r="C18" s="35" t="n">
        <v>0.8</v>
      </c>
      <c r="D18" s="17" t="s">
        <v>97</v>
      </c>
      <c r="E18" s="30" t="s">
        <v>98</v>
      </c>
    </row>
    <row r="19" customFormat="false" ht="14.25" hidden="false" customHeight="true" outlineLevel="0" collapsed="false">
      <c r="A19" s="3"/>
      <c r="B19" s="17" t="s">
        <v>99</v>
      </c>
      <c r="C19" s="35" t="n">
        <v>1.8</v>
      </c>
      <c r="D19" s="17" t="s">
        <v>97</v>
      </c>
      <c r="E19" s="30" t="s">
        <v>98</v>
      </c>
    </row>
    <row r="20" customFormat="false" ht="14.25" hidden="false" customHeight="true" outlineLevel="0" collapsed="false">
      <c r="A20" s="3"/>
      <c r="B20" s="17" t="s">
        <v>100</v>
      </c>
      <c r="C20" s="35" t="n">
        <v>3.9</v>
      </c>
      <c r="D20" s="17" t="s">
        <v>101</v>
      </c>
      <c r="E20" s="30" t="s">
        <v>98</v>
      </c>
    </row>
    <row r="21" customFormat="false" ht="14.25" hidden="false" customHeight="true" outlineLevel="0" collapsed="false">
      <c r="A21" s="3"/>
      <c r="B21" s="17" t="s">
        <v>102</v>
      </c>
      <c r="C21" s="35" t="n">
        <v>4.55</v>
      </c>
      <c r="D21" s="17" t="s">
        <v>101</v>
      </c>
      <c r="E21" s="30" t="s">
        <v>98</v>
      </c>
    </row>
    <row r="22" customFormat="false" ht="14.25" hidden="false" customHeight="true" outlineLevel="0" collapsed="false">
      <c r="A22" s="3"/>
      <c r="B22" s="3"/>
      <c r="C22" s="3"/>
      <c r="D22" s="3"/>
      <c r="E22" s="3"/>
    </row>
    <row r="23" customFormat="false" ht="14.25" hidden="false" customHeight="true" outlineLevel="0" collapsed="false">
      <c r="A23" s="3"/>
      <c r="B23" s="5" t="s">
        <v>103</v>
      </c>
      <c r="C23" s="3"/>
      <c r="D23" s="3"/>
      <c r="E23" s="3"/>
    </row>
    <row r="24" customFormat="false" ht="14.25" hidden="false" customHeight="true" outlineLevel="0" collapsed="false">
      <c r="A24" s="3"/>
      <c r="B24" s="6" t="s">
        <v>16</v>
      </c>
      <c r="C24" s="6" t="s">
        <v>104</v>
      </c>
      <c r="D24" s="6" t="s">
        <v>105</v>
      </c>
      <c r="E24" s="6" t="s">
        <v>106</v>
      </c>
    </row>
    <row r="25" customFormat="false" ht="14.25" hidden="false" customHeight="true" outlineLevel="0" collapsed="false">
      <c r="A25" s="3"/>
      <c r="B25" s="17" t="str">
        <f aca="false">B18</f>
        <v>Πλευρικός Οινοφύτων</v>
      </c>
      <c r="C25" s="18" t="n">
        <v>0</v>
      </c>
      <c r="D25" s="18" t="n">
        <v>0</v>
      </c>
      <c r="E25" s="18" t="n">
        <v>1</v>
      </c>
    </row>
    <row r="26" customFormat="false" ht="14.25" hidden="false" customHeight="true" outlineLevel="0" collapsed="false">
      <c r="A26" s="3"/>
      <c r="B26" s="17" t="str">
        <f aca="false">B19</f>
        <v>Πλευρικός Θήβας</v>
      </c>
      <c r="C26" s="18" t="n">
        <v>2</v>
      </c>
      <c r="D26" s="18" t="n">
        <v>0</v>
      </c>
      <c r="E26" s="18" t="n">
        <v>2</v>
      </c>
    </row>
    <row r="27" customFormat="false" ht="14.25" hidden="false" customHeight="true" outlineLevel="0" collapsed="false">
      <c r="A27" s="3"/>
      <c r="B27" s="17" t="str">
        <f aca="false">B20</f>
        <v>Μετωπικός Αφιδνών</v>
      </c>
      <c r="C27" s="18" t="n">
        <v>2</v>
      </c>
      <c r="D27" s="18" t="n">
        <v>2</v>
      </c>
      <c r="E27" s="18" t="n">
        <v>1</v>
      </c>
    </row>
    <row r="28" customFormat="false" ht="14.25" hidden="false" customHeight="true" outlineLevel="0" collapsed="false">
      <c r="A28" s="3"/>
      <c r="B28" s="17" t="str">
        <f aca="false">B21</f>
        <v>Μετωπικός Θήβας</v>
      </c>
      <c r="C28" s="18" t="n">
        <v>0</v>
      </c>
      <c r="D28" s="18" t="n">
        <v>2</v>
      </c>
      <c r="E28" s="18" t="n">
        <v>0</v>
      </c>
    </row>
    <row r="29" customFormat="false" ht="14.25" hidden="false" customHeight="true" outlineLevel="0" collapsed="false">
      <c r="A29" s="3"/>
      <c r="B29" s="14" t="s">
        <v>107</v>
      </c>
      <c r="C29" s="36" t="n">
        <f aca="false">SUMPRODUCT($C$18:$C$21,C25:C28)</f>
        <v>11.4</v>
      </c>
      <c r="D29" s="36" t="n">
        <f aca="false">SUMPRODUCT($C$18:$C$21,D25:D28)</f>
        <v>16.9</v>
      </c>
      <c r="E29" s="36" t="n">
        <f aca="false">SUMPRODUCT($C$18:$C$21,E25:E28)</f>
        <v>8.3</v>
      </c>
    </row>
    <row r="30" customFormat="false" ht="14.25" hidden="false" customHeight="true" outlineLevel="0" collapsed="false">
      <c r="A30" s="3"/>
      <c r="B30" s="3"/>
      <c r="C30" s="3"/>
      <c r="D30" s="3"/>
      <c r="E30" s="3"/>
    </row>
    <row r="31" customFormat="false" ht="14.25" hidden="false" customHeight="true" outlineLevel="0" collapsed="false">
      <c r="A31" s="3"/>
      <c r="B31" s="5" t="s">
        <v>108</v>
      </c>
      <c r="C31" s="3"/>
      <c r="D31" s="3"/>
      <c r="E31" s="3"/>
    </row>
    <row r="32" customFormat="false" ht="14.25" hidden="false" customHeight="true" outlineLevel="0" collapsed="false">
      <c r="A32" s="3"/>
      <c r="B32" s="6" t="s">
        <v>2</v>
      </c>
      <c r="C32" s="6" t="s">
        <v>3</v>
      </c>
      <c r="D32" s="6"/>
      <c r="E32" s="6"/>
    </row>
    <row r="33" customFormat="false" ht="27.75" hidden="false" customHeight="true" outlineLevel="0" collapsed="false">
      <c r="A33" s="3"/>
      <c r="B33" s="7" t="s">
        <v>10</v>
      </c>
      <c r="C33" s="8" t="s">
        <v>109</v>
      </c>
      <c r="D33" s="8"/>
      <c r="E33" s="8"/>
    </row>
    <row r="34" customFormat="false" ht="27.75" hidden="false" customHeight="true" outlineLevel="0" collapsed="false">
      <c r="A34" s="3"/>
      <c r="B34" s="7" t="s">
        <v>14</v>
      </c>
      <c r="C34" s="8" t="s">
        <v>110</v>
      </c>
      <c r="D34" s="8"/>
      <c r="E34" s="8"/>
    </row>
    <row r="35" customFormat="false" ht="27.75" hidden="false" customHeight="true" outlineLevel="0" collapsed="false">
      <c r="A35" s="3"/>
      <c r="B35" s="7" t="s">
        <v>12</v>
      </c>
      <c r="C35" s="8" t="s">
        <v>111</v>
      </c>
      <c r="D35" s="8"/>
      <c r="E35" s="8"/>
    </row>
    <row r="36" customFormat="false" ht="14.25" hidden="false" customHeight="true" outlineLevel="0" collapsed="false">
      <c r="A36" s="3"/>
      <c r="B36" s="3"/>
      <c r="C36" s="3"/>
      <c r="D36" s="3"/>
      <c r="E36" s="3"/>
    </row>
    <row r="37" customFormat="false" ht="14.25" hidden="false" customHeight="true" outlineLevel="0" collapsed="false">
      <c r="A37" s="3"/>
      <c r="B37" s="5" t="s">
        <v>112</v>
      </c>
      <c r="C37" s="3"/>
      <c r="D37" s="3"/>
      <c r="E37" s="3"/>
    </row>
    <row r="38" customFormat="false" ht="14.25" hidden="false" customHeight="true" outlineLevel="0" collapsed="false">
      <c r="A38" s="3"/>
      <c r="B38" s="6" t="s">
        <v>113</v>
      </c>
      <c r="C38" s="6" t="s">
        <v>114</v>
      </c>
      <c r="D38" s="6" t="s">
        <v>115</v>
      </c>
      <c r="E38" s="3"/>
    </row>
    <row r="39" customFormat="false" ht="14.25" hidden="false" customHeight="true" outlineLevel="0" collapsed="false">
      <c r="A39" s="3"/>
      <c r="B39" s="37" t="n">
        <v>1</v>
      </c>
      <c r="C39" s="37" t="n">
        <v>5</v>
      </c>
      <c r="D39" s="38" t="n">
        <v>0</v>
      </c>
      <c r="E39" s="3"/>
    </row>
    <row r="40" customFormat="false" ht="14.25" hidden="false" customHeight="true" outlineLevel="0" collapsed="false">
      <c r="A40" s="3"/>
      <c r="B40" s="37" t="n">
        <v>6</v>
      </c>
      <c r="C40" s="37" t="n">
        <v>10</v>
      </c>
      <c r="D40" s="38" t="n">
        <v>0.05</v>
      </c>
      <c r="E40" s="3"/>
    </row>
    <row r="41" customFormat="false" ht="14.25" hidden="false" customHeight="true" outlineLevel="0" collapsed="false">
      <c r="A41" s="3"/>
      <c r="B41" s="37" t="n">
        <v>11</v>
      </c>
      <c r="C41" s="37" t="n">
        <v>20</v>
      </c>
      <c r="D41" s="38" t="n">
        <v>0.1</v>
      </c>
      <c r="E41" s="3"/>
    </row>
    <row r="42" customFormat="false" ht="14.25" hidden="false" customHeight="true" outlineLevel="0" collapsed="false">
      <c r="A42" s="3"/>
      <c r="B42" s="37" t="n">
        <v>21</v>
      </c>
      <c r="C42" s="37" t="n">
        <v>30</v>
      </c>
      <c r="D42" s="38" t="n">
        <v>0.15</v>
      </c>
      <c r="E42" s="3"/>
    </row>
    <row r="43" customFormat="false" ht="14.25" hidden="false" customHeight="true" outlineLevel="0" collapsed="false">
      <c r="A43" s="3"/>
      <c r="B43" s="37" t="n">
        <v>31</v>
      </c>
      <c r="C43" s="37" t="n">
        <v>40</v>
      </c>
      <c r="D43" s="38" t="n">
        <v>0.2</v>
      </c>
      <c r="E43" s="3"/>
    </row>
    <row r="44" customFormat="false" ht="14.25" hidden="false" customHeight="true" outlineLevel="0" collapsed="false">
      <c r="A44" s="3"/>
      <c r="B44" s="37" t="n">
        <v>41</v>
      </c>
      <c r="C44" s="37" t="n">
        <v>50</v>
      </c>
      <c r="D44" s="38" t="n">
        <v>0.4</v>
      </c>
      <c r="E44" s="3"/>
    </row>
    <row r="45" customFormat="false" ht="14.25" hidden="false" customHeight="true" outlineLevel="0" collapsed="false">
      <c r="A45" s="3"/>
      <c r="B45" s="37" t="n">
        <v>51</v>
      </c>
      <c r="C45" s="37" t="n">
        <v>60</v>
      </c>
      <c r="D45" s="38" t="n">
        <v>0.5</v>
      </c>
      <c r="E45" s="3"/>
    </row>
    <row r="46" customFormat="false" ht="42" hidden="false" customHeight="true" outlineLevel="0" collapsed="false">
      <c r="A46" s="3"/>
      <c r="B46" s="39" t="s">
        <v>116</v>
      </c>
      <c r="C46" s="39"/>
      <c r="D46" s="39"/>
      <c r="E46" s="39"/>
    </row>
  </sheetData>
  <mergeCells count="5">
    <mergeCell ref="C32:E32"/>
    <mergeCell ref="C33:E33"/>
    <mergeCell ref="C34:E34"/>
    <mergeCell ref="C35:E35"/>
    <mergeCell ref="B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15" min="4" style="1" width="13"/>
  </cols>
  <sheetData>
    <row r="1" customFormat="false" ht="17.25" hidden="false" customHeight="true" outlineLevel="0" collapsed="false">
      <c r="A1" s="28" t="s">
        <v>117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4.25" hidden="false" customHeight="true" outlineLevel="0" collapsed="false">
      <c r="A2" s="4" t="s">
        <v>118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4.25" hidden="false" customHeight="true" outlineLevel="0" collapsed="false">
      <c r="A4" s="40"/>
      <c r="B4" s="40"/>
      <c r="C4" s="40"/>
      <c r="D4" s="41" t="s">
        <v>119</v>
      </c>
      <c r="E4" s="41"/>
      <c r="F4" s="41"/>
      <c r="G4" s="41"/>
      <c r="H4" s="41" t="s">
        <v>120</v>
      </c>
      <c r="I4" s="41"/>
      <c r="J4" s="41"/>
      <c r="K4" s="41"/>
      <c r="L4" s="41" t="s">
        <v>121</v>
      </c>
      <c r="M4" s="41"/>
      <c r="N4" s="41"/>
      <c r="O4" s="41"/>
    </row>
    <row r="5" customFormat="false" ht="30" hidden="false" customHeight="true" outlineLevel="0" collapsed="false">
      <c r="A5" s="6" t="s">
        <v>24</v>
      </c>
      <c r="B5" s="6" t="s">
        <v>16</v>
      </c>
      <c r="C5" s="6" t="s">
        <v>17</v>
      </c>
      <c r="D5" s="6" t="s">
        <v>122</v>
      </c>
      <c r="E5" s="6" t="s">
        <v>19</v>
      </c>
      <c r="F5" s="6" t="s">
        <v>123</v>
      </c>
      <c r="G5" s="6" t="s">
        <v>20</v>
      </c>
      <c r="H5" s="6" t="s">
        <v>122</v>
      </c>
      <c r="I5" s="6" t="s">
        <v>19</v>
      </c>
      <c r="J5" s="6" t="s">
        <v>123</v>
      </c>
      <c r="K5" s="6" t="s">
        <v>20</v>
      </c>
      <c r="L5" s="6" t="s">
        <v>122</v>
      </c>
      <c r="M5" s="6" t="s">
        <v>19</v>
      </c>
      <c r="N5" s="6" t="s">
        <v>123</v>
      </c>
      <c r="O5" s="6" t="s">
        <v>20</v>
      </c>
    </row>
    <row r="6" customFormat="false" ht="14.25" hidden="false" customHeight="true" outlineLevel="0" collapsed="false">
      <c r="A6" s="13" t="n">
        <f aca="false">Παραδοχές!$C$12</f>
        <v>13</v>
      </c>
      <c r="B6" s="12" t="str">
        <f aca="false">Παραδοχές!$B$18</f>
        <v>Πλευρικός Οινοφύτων</v>
      </c>
      <c r="C6" s="9" t="n">
        <f aca="false">Παραδοχές!$C$18</f>
        <v>0.8</v>
      </c>
      <c r="D6" s="42" t="n">
        <f aca="false">$A6*Παραδοχές!$C$25</f>
        <v>0</v>
      </c>
      <c r="E6" s="11" t="n">
        <f aca="false">D6*$C6</f>
        <v>0</v>
      </c>
      <c r="F6" s="43" t="n">
        <f aca="false">D6-SUMPRODUCT(Παραδοχές!$D$39:$D$45,(D6&gt;Παραδοχές!$C$39:$C$45)*(Παραδοχές!$C$39:$C$45-Παραδοχές!$B$39:$B$45+1)+(D6&gt;=Παραδοχές!$B$39:$B$45)*(D6&lt;=Παραδοχές!$C$39:$C$45)*(D6-Παραδοχές!$B$39:$B$45+1))</f>
        <v>0</v>
      </c>
      <c r="G6" s="11" t="n">
        <f aca="false">F6*$C6</f>
        <v>0</v>
      </c>
      <c r="H6" s="42" t="n">
        <f aca="false">$A6*Παραδοχές!$D$25</f>
        <v>0</v>
      </c>
      <c r="I6" s="11" t="n">
        <f aca="false">H6*$C6</f>
        <v>0</v>
      </c>
      <c r="J6" s="43" t="n">
        <f aca="false">H6-SUMPRODUCT(Παραδοχές!$D$39:$D$45,(H6&gt;Παραδοχές!$C$39:$C$45)*(Παραδοχές!$C$39:$C$45-Παραδοχές!$B$39:$B$45+1)+(H6&gt;=Παραδοχές!$B$39:$B$45)*(H6&lt;=Παραδοχές!$C$39:$C$45)*(H6-Παραδοχές!$B$39:$B$45+1))</f>
        <v>0</v>
      </c>
      <c r="K6" s="11" t="n">
        <f aca="false">J6*$C6</f>
        <v>0</v>
      </c>
      <c r="L6" s="42" t="n">
        <f aca="false">$A6*Παραδοχές!$E$25</f>
        <v>13</v>
      </c>
      <c r="M6" s="11" t="n">
        <f aca="false">L6*$C6</f>
        <v>10.4</v>
      </c>
      <c r="N6" s="43" t="n">
        <f aca="false">L6-SUMPRODUCT(Παραδοχές!$D$39:$D$45,(L6&gt;Παραδοχές!$C$39:$C$45)*(Παραδοχές!$C$39:$C$45-Παραδοχές!$B$39:$B$45+1)+(L6&gt;=Παραδοχές!$B$39:$B$45)*(L6&lt;=Παραδοχές!$C$39:$C$45)*(L6-Παραδοχές!$B$39:$B$45+1))</f>
        <v>12.45</v>
      </c>
      <c r="O6" s="11" t="n">
        <f aca="false">N6*$C6</f>
        <v>9.96</v>
      </c>
    </row>
    <row r="7" customFormat="false" ht="14.25" hidden="false" customHeight="true" outlineLevel="0" collapsed="false">
      <c r="A7" s="13" t="n">
        <f aca="false">Παραδοχές!$C$12</f>
        <v>13</v>
      </c>
      <c r="B7" s="12" t="str">
        <f aca="false">Παραδοχές!$B$19</f>
        <v>Πλευρικός Θήβας</v>
      </c>
      <c r="C7" s="9" t="n">
        <f aca="false">Παραδοχές!$C$19</f>
        <v>1.8</v>
      </c>
      <c r="D7" s="42" t="n">
        <f aca="false">$A7*Παραδοχές!$C$26</f>
        <v>26</v>
      </c>
      <c r="E7" s="11" t="n">
        <f aca="false">D7*$C7</f>
        <v>46.8</v>
      </c>
      <c r="F7" s="43" t="n">
        <f aca="false">D7-SUMPRODUCT(Παραδοχές!$D$39:$D$45,(D7&gt;Παραδοχές!$C$39:$C$45)*(Παραδοχές!$C$39:$C$45-Παραδοχές!$B$39:$B$45+1)+(D7&gt;=Παραδοχές!$B$39:$B$45)*(D7&lt;=Παραδοχές!$C$39:$C$45)*(D7-Παραδοχές!$B$39:$B$45+1))</f>
        <v>23.85</v>
      </c>
      <c r="G7" s="11" t="n">
        <f aca="false">F7*$C7</f>
        <v>42.93</v>
      </c>
      <c r="H7" s="42" t="n">
        <f aca="false">$A7*Παραδοχές!$D$26</f>
        <v>0</v>
      </c>
      <c r="I7" s="11" t="n">
        <f aca="false">H7*$C7</f>
        <v>0</v>
      </c>
      <c r="J7" s="43" t="n">
        <f aca="false">H7-SUMPRODUCT(Παραδοχές!$D$39:$D$45,(H7&gt;Παραδοχές!$C$39:$C$45)*(Παραδοχές!$C$39:$C$45-Παραδοχές!$B$39:$B$45+1)+(H7&gt;=Παραδοχές!$B$39:$B$45)*(H7&lt;=Παραδοχές!$C$39:$C$45)*(H7-Παραδοχές!$B$39:$B$45+1))</f>
        <v>0</v>
      </c>
      <c r="K7" s="11" t="n">
        <f aca="false">J7*$C7</f>
        <v>0</v>
      </c>
      <c r="L7" s="42" t="n">
        <f aca="false">$A7*Παραδοχές!$E$26</f>
        <v>26</v>
      </c>
      <c r="M7" s="11" t="n">
        <f aca="false">L7*$C7</f>
        <v>46.8</v>
      </c>
      <c r="N7" s="43" t="n">
        <f aca="false">L7-SUMPRODUCT(Παραδοχές!$D$39:$D$45,(L7&gt;Παραδοχές!$C$39:$C$45)*(Παραδοχές!$C$39:$C$45-Παραδοχές!$B$39:$B$45+1)+(L7&gt;=Παραδοχές!$B$39:$B$45)*(L7&lt;=Παραδοχές!$C$39:$C$45)*(L7-Παραδοχές!$B$39:$B$45+1))</f>
        <v>23.85</v>
      </c>
      <c r="O7" s="11" t="n">
        <f aca="false">N7*$C7</f>
        <v>42.93</v>
      </c>
    </row>
    <row r="8" customFormat="false" ht="14.25" hidden="false" customHeight="true" outlineLevel="0" collapsed="false">
      <c r="A8" s="13" t="n">
        <f aca="false">Παραδοχές!$C$12</f>
        <v>13</v>
      </c>
      <c r="B8" s="12" t="str">
        <f aca="false">Παραδοχές!$B$20</f>
        <v>Μετωπικός Αφιδνών</v>
      </c>
      <c r="C8" s="9" t="n">
        <f aca="false">Παραδοχές!$C$20</f>
        <v>3.9</v>
      </c>
      <c r="D8" s="42" t="n">
        <f aca="false">$A8*Παραδοχές!$C$27</f>
        <v>26</v>
      </c>
      <c r="E8" s="11" t="n">
        <f aca="false">D8*$C8</f>
        <v>101.4</v>
      </c>
      <c r="F8" s="43" t="n">
        <f aca="false">D8-SUMPRODUCT(Παραδοχές!$D$39:$D$45,(D8&gt;Παραδοχές!$C$39:$C$45)*(Παραδοχές!$C$39:$C$45-Παραδοχές!$B$39:$B$45+1)+(D8&gt;=Παραδοχές!$B$39:$B$45)*(D8&lt;=Παραδοχές!$C$39:$C$45)*(D8-Παραδοχές!$B$39:$B$45+1))</f>
        <v>23.85</v>
      </c>
      <c r="G8" s="11" t="n">
        <f aca="false">F8*$C8</f>
        <v>93.015</v>
      </c>
      <c r="H8" s="42" t="n">
        <f aca="false">$A8*Παραδοχές!$D$27</f>
        <v>26</v>
      </c>
      <c r="I8" s="11" t="n">
        <f aca="false">H8*$C8</f>
        <v>101.4</v>
      </c>
      <c r="J8" s="43" t="n">
        <f aca="false">H8-SUMPRODUCT(Παραδοχές!$D$39:$D$45,(H8&gt;Παραδοχές!$C$39:$C$45)*(Παραδοχές!$C$39:$C$45-Παραδοχές!$B$39:$B$45+1)+(H8&gt;=Παραδοχές!$B$39:$B$45)*(H8&lt;=Παραδοχές!$C$39:$C$45)*(H8-Παραδοχές!$B$39:$B$45+1))</f>
        <v>23.85</v>
      </c>
      <c r="K8" s="11" t="n">
        <f aca="false">J8*$C8</f>
        <v>93.015</v>
      </c>
      <c r="L8" s="42" t="n">
        <f aca="false">$A8*Παραδοχές!$E$27</f>
        <v>13</v>
      </c>
      <c r="M8" s="11" t="n">
        <f aca="false">L8*$C8</f>
        <v>50.7</v>
      </c>
      <c r="N8" s="43" t="n">
        <f aca="false">L8-SUMPRODUCT(Παραδοχές!$D$39:$D$45,(L8&gt;Παραδοχές!$C$39:$C$45)*(Παραδοχές!$C$39:$C$45-Παραδοχές!$B$39:$B$45+1)+(L8&gt;=Παραδοχές!$B$39:$B$45)*(L8&lt;=Παραδοχές!$C$39:$C$45)*(L8-Παραδοχές!$B$39:$B$45+1))</f>
        <v>12.45</v>
      </c>
      <c r="O8" s="11" t="n">
        <f aca="false">N8*$C8</f>
        <v>48.555</v>
      </c>
    </row>
    <row r="9" customFormat="false" ht="14.25" hidden="false" customHeight="true" outlineLevel="0" collapsed="false">
      <c r="A9" s="44" t="n">
        <f aca="false">Παραδοχές!$C$12</f>
        <v>13</v>
      </c>
      <c r="B9" s="45" t="str">
        <f aca="false">Παραδοχές!$B$21</f>
        <v>Μετωπικός Θήβας</v>
      </c>
      <c r="C9" s="46" t="n">
        <f aca="false">Παραδοχές!$C$21</f>
        <v>4.55</v>
      </c>
      <c r="D9" s="47" t="n">
        <f aca="false">$A9*Παραδοχές!$C$28</f>
        <v>0</v>
      </c>
      <c r="E9" s="48" t="n">
        <f aca="false">D9*$C9</f>
        <v>0</v>
      </c>
      <c r="F9" s="49" t="n">
        <f aca="false">D9-SUMPRODUCT(Παραδοχές!$D$39:$D$45,(D9&gt;Παραδοχές!$C$39:$C$45)*(Παραδοχές!$C$39:$C$45-Παραδοχές!$B$39:$B$45+1)+(D9&gt;=Παραδοχές!$B$39:$B$45)*(D9&lt;=Παραδοχές!$C$39:$C$45)*(D9-Παραδοχές!$B$39:$B$45+1))</f>
        <v>0</v>
      </c>
      <c r="G9" s="48" t="n">
        <f aca="false">F9*$C9</f>
        <v>0</v>
      </c>
      <c r="H9" s="47" t="n">
        <f aca="false">$A9*Παραδοχές!$D$28</f>
        <v>26</v>
      </c>
      <c r="I9" s="48" t="n">
        <f aca="false">H9*$C9</f>
        <v>118.3</v>
      </c>
      <c r="J9" s="49" t="n">
        <f aca="false">H9-SUMPRODUCT(Παραδοχές!$D$39:$D$45,(H9&gt;Παραδοχές!$C$39:$C$45)*(Παραδοχές!$C$39:$C$45-Παραδοχές!$B$39:$B$45+1)+(H9&gt;=Παραδοχές!$B$39:$B$45)*(H9&lt;=Παραδοχές!$C$39:$C$45)*(H9-Παραδοχές!$B$39:$B$45+1))</f>
        <v>23.85</v>
      </c>
      <c r="K9" s="48" t="n">
        <f aca="false">J9*$C9</f>
        <v>108.5175</v>
      </c>
      <c r="L9" s="47" t="n">
        <f aca="false">$A9*Παραδοχές!$E$28</f>
        <v>0</v>
      </c>
      <c r="M9" s="48" t="n">
        <f aca="false">L9*$C9</f>
        <v>0</v>
      </c>
      <c r="N9" s="49" t="n">
        <f aca="false">L9-SUMPRODUCT(Παραδοχές!$D$39:$D$45,(L9&gt;Παραδοχές!$C$39:$C$45)*(Παραδοχές!$C$39:$C$45-Παραδοχές!$B$39:$B$45+1)+(L9&gt;=Παραδοχές!$B$39:$B$45)*(L9&lt;=Παραδοχές!$C$39:$C$45)*(L9-Παραδοχές!$B$39:$B$45+1))</f>
        <v>0</v>
      </c>
      <c r="O9" s="48" t="n">
        <f aca="false">N9*$C9</f>
        <v>0</v>
      </c>
    </row>
    <row r="10" customFormat="false" ht="14.25" hidden="false" customHeight="true" outlineLevel="0" collapsed="false">
      <c r="A10" s="13" t="n">
        <f aca="false">Σύνοψη!$B$21</f>
        <v>12</v>
      </c>
      <c r="B10" s="12" t="str">
        <f aca="false">Παραδοχές!$B$18</f>
        <v>Πλευρικός Οινοφύτων</v>
      </c>
      <c r="C10" s="9" t="n">
        <f aca="false">Παραδοχές!$C$18</f>
        <v>0.8</v>
      </c>
      <c r="D10" s="42" t="n">
        <f aca="false">$A10*Παραδοχές!$C$25</f>
        <v>0</v>
      </c>
      <c r="E10" s="11" t="n">
        <f aca="false">D10*$C10</f>
        <v>0</v>
      </c>
      <c r="F10" s="43" t="n">
        <f aca="false">D10-SUMPRODUCT(Παραδοχές!$D$39:$D$45,(D10&gt;Παραδοχές!$C$39:$C$45)*(Παραδοχές!$C$39:$C$45-Παραδοχές!$B$39:$B$45+1)+(D10&gt;=Παραδοχές!$B$39:$B$45)*(D10&lt;=Παραδοχές!$C$39:$C$45)*(D10-Παραδοχές!$B$39:$B$45+1))</f>
        <v>0</v>
      </c>
      <c r="G10" s="11" t="n">
        <f aca="false">F10*$C10</f>
        <v>0</v>
      </c>
      <c r="H10" s="42" t="n">
        <f aca="false">$A10*Παραδοχές!$D$25</f>
        <v>0</v>
      </c>
      <c r="I10" s="11" t="n">
        <f aca="false">H10*$C10</f>
        <v>0</v>
      </c>
      <c r="J10" s="43" t="n">
        <f aca="false">H10-SUMPRODUCT(Παραδοχές!$D$39:$D$45,(H10&gt;Παραδοχές!$C$39:$C$45)*(Παραδοχές!$C$39:$C$45-Παραδοχές!$B$39:$B$45+1)+(H10&gt;=Παραδοχές!$B$39:$B$45)*(H10&lt;=Παραδοχές!$C$39:$C$45)*(H10-Παραδοχές!$B$39:$B$45+1))</f>
        <v>0</v>
      </c>
      <c r="K10" s="11" t="n">
        <f aca="false">J10*$C10</f>
        <v>0</v>
      </c>
      <c r="L10" s="42" t="n">
        <f aca="false">$A10*Παραδοχές!$E$25</f>
        <v>12</v>
      </c>
      <c r="M10" s="11" t="n">
        <f aca="false">L10*$C10</f>
        <v>9.6</v>
      </c>
      <c r="N10" s="43" t="n">
        <f aca="false">L10-SUMPRODUCT(Παραδοχές!$D$39:$D$45,(L10&gt;Παραδοχές!$C$39:$C$45)*(Παραδοχές!$C$39:$C$45-Παραδοχές!$B$39:$B$45+1)+(L10&gt;=Παραδοχές!$B$39:$B$45)*(L10&lt;=Παραδοχές!$C$39:$C$45)*(L10-Παραδοχές!$B$39:$B$45+1))</f>
        <v>11.55</v>
      </c>
      <c r="O10" s="11" t="n">
        <f aca="false">N10*$C10</f>
        <v>9.24</v>
      </c>
    </row>
    <row r="11" customFormat="false" ht="14.25" hidden="false" customHeight="true" outlineLevel="0" collapsed="false">
      <c r="A11" s="13" t="n">
        <f aca="false">Σύνοψη!$B$21</f>
        <v>12</v>
      </c>
      <c r="B11" s="12" t="str">
        <f aca="false">Παραδοχές!$B$19</f>
        <v>Πλευρικός Θήβας</v>
      </c>
      <c r="C11" s="9" t="n">
        <f aca="false">Παραδοχές!$C$19</f>
        <v>1.8</v>
      </c>
      <c r="D11" s="42" t="n">
        <f aca="false">$A11*Παραδοχές!$C$26</f>
        <v>24</v>
      </c>
      <c r="E11" s="11" t="n">
        <f aca="false">D11*$C11</f>
        <v>43.2</v>
      </c>
      <c r="F11" s="43" t="n">
        <f aca="false">D11-SUMPRODUCT(Παραδοχές!$D$39:$D$45,(D11&gt;Παραδοχές!$C$39:$C$45)*(Παραδοχές!$C$39:$C$45-Παραδοχές!$B$39:$B$45+1)+(D11&gt;=Παραδοχές!$B$39:$B$45)*(D11&lt;=Παραδοχές!$C$39:$C$45)*(D11-Παραδοχές!$B$39:$B$45+1))</f>
        <v>22.15</v>
      </c>
      <c r="G11" s="11" t="n">
        <f aca="false">F11*$C11</f>
        <v>39.87</v>
      </c>
      <c r="H11" s="42" t="n">
        <f aca="false">$A11*Παραδοχές!$D$26</f>
        <v>0</v>
      </c>
      <c r="I11" s="11" t="n">
        <f aca="false">H11*$C11</f>
        <v>0</v>
      </c>
      <c r="J11" s="43" t="n">
        <f aca="false">H11-SUMPRODUCT(Παραδοχές!$D$39:$D$45,(H11&gt;Παραδοχές!$C$39:$C$45)*(Παραδοχές!$C$39:$C$45-Παραδοχές!$B$39:$B$45+1)+(H11&gt;=Παραδοχές!$B$39:$B$45)*(H11&lt;=Παραδοχές!$C$39:$C$45)*(H11-Παραδοχές!$B$39:$B$45+1))</f>
        <v>0</v>
      </c>
      <c r="K11" s="11" t="n">
        <f aca="false">J11*$C11</f>
        <v>0</v>
      </c>
      <c r="L11" s="42" t="n">
        <f aca="false">$A11*Παραδοχές!$E$26</f>
        <v>24</v>
      </c>
      <c r="M11" s="11" t="n">
        <f aca="false">L11*$C11</f>
        <v>43.2</v>
      </c>
      <c r="N11" s="43" t="n">
        <f aca="false">L11-SUMPRODUCT(Παραδοχές!$D$39:$D$45,(L11&gt;Παραδοχές!$C$39:$C$45)*(Παραδοχές!$C$39:$C$45-Παραδοχές!$B$39:$B$45+1)+(L11&gt;=Παραδοχές!$B$39:$B$45)*(L11&lt;=Παραδοχές!$C$39:$C$45)*(L11-Παραδοχές!$B$39:$B$45+1))</f>
        <v>22.15</v>
      </c>
      <c r="O11" s="11" t="n">
        <f aca="false">N11*$C11</f>
        <v>39.87</v>
      </c>
    </row>
    <row r="12" customFormat="false" ht="14.25" hidden="false" customHeight="true" outlineLevel="0" collapsed="false">
      <c r="A12" s="13" t="n">
        <f aca="false">Σύνοψη!$B$21</f>
        <v>12</v>
      </c>
      <c r="B12" s="12" t="str">
        <f aca="false">Παραδοχές!$B$20</f>
        <v>Μετωπικός Αφιδνών</v>
      </c>
      <c r="C12" s="9" t="n">
        <f aca="false">Παραδοχές!$C$20</f>
        <v>3.9</v>
      </c>
      <c r="D12" s="42" t="n">
        <f aca="false">$A12*Παραδοχές!$C$27</f>
        <v>24</v>
      </c>
      <c r="E12" s="11" t="n">
        <f aca="false">D12*$C12</f>
        <v>93.6</v>
      </c>
      <c r="F12" s="43" t="n">
        <f aca="false">D12-SUMPRODUCT(Παραδοχές!$D$39:$D$45,(D12&gt;Παραδοχές!$C$39:$C$45)*(Παραδοχές!$C$39:$C$45-Παραδοχές!$B$39:$B$45+1)+(D12&gt;=Παραδοχές!$B$39:$B$45)*(D12&lt;=Παραδοχές!$C$39:$C$45)*(D12-Παραδοχές!$B$39:$B$45+1))</f>
        <v>22.15</v>
      </c>
      <c r="G12" s="11" t="n">
        <f aca="false">F12*$C12</f>
        <v>86.385</v>
      </c>
      <c r="H12" s="42" t="n">
        <f aca="false">$A12*Παραδοχές!$D$27</f>
        <v>24</v>
      </c>
      <c r="I12" s="11" t="n">
        <f aca="false">H12*$C12</f>
        <v>93.6</v>
      </c>
      <c r="J12" s="43" t="n">
        <f aca="false">H12-SUMPRODUCT(Παραδοχές!$D$39:$D$45,(H12&gt;Παραδοχές!$C$39:$C$45)*(Παραδοχές!$C$39:$C$45-Παραδοχές!$B$39:$B$45+1)+(H12&gt;=Παραδοχές!$B$39:$B$45)*(H12&lt;=Παραδοχές!$C$39:$C$45)*(H12-Παραδοχές!$B$39:$B$45+1))</f>
        <v>22.15</v>
      </c>
      <c r="K12" s="11" t="n">
        <f aca="false">J12*$C12</f>
        <v>86.385</v>
      </c>
      <c r="L12" s="42" t="n">
        <f aca="false">$A12*Παραδοχές!$E$27</f>
        <v>12</v>
      </c>
      <c r="M12" s="11" t="n">
        <f aca="false">L12*$C12</f>
        <v>46.8</v>
      </c>
      <c r="N12" s="43" t="n">
        <f aca="false">L12-SUMPRODUCT(Παραδοχές!$D$39:$D$45,(L12&gt;Παραδοχές!$C$39:$C$45)*(Παραδοχές!$C$39:$C$45-Παραδοχές!$B$39:$B$45+1)+(L12&gt;=Παραδοχές!$B$39:$B$45)*(L12&lt;=Παραδοχές!$C$39:$C$45)*(L12-Παραδοχές!$B$39:$B$45+1))</f>
        <v>11.55</v>
      </c>
      <c r="O12" s="11" t="n">
        <f aca="false">N12*$C12</f>
        <v>45.045</v>
      </c>
    </row>
    <row r="13" customFormat="false" ht="14.25" hidden="false" customHeight="true" outlineLevel="0" collapsed="false">
      <c r="A13" s="44" t="n">
        <f aca="false">Σύνοψη!$B$21</f>
        <v>12</v>
      </c>
      <c r="B13" s="45" t="str">
        <f aca="false">Παραδοχές!$B$21</f>
        <v>Μετωπικός Θήβας</v>
      </c>
      <c r="C13" s="46" t="n">
        <f aca="false">Παραδοχές!$C$21</f>
        <v>4.55</v>
      </c>
      <c r="D13" s="47" t="n">
        <f aca="false">$A13*Παραδοχές!$C$28</f>
        <v>0</v>
      </c>
      <c r="E13" s="48" t="n">
        <f aca="false">D13*$C13</f>
        <v>0</v>
      </c>
      <c r="F13" s="49" t="n">
        <f aca="false">D13-SUMPRODUCT(Παραδοχές!$D$39:$D$45,(D13&gt;Παραδοχές!$C$39:$C$45)*(Παραδοχές!$C$39:$C$45-Παραδοχές!$B$39:$B$45+1)+(D13&gt;=Παραδοχές!$B$39:$B$45)*(D13&lt;=Παραδοχές!$C$39:$C$45)*(D13-Παραδοχές!$B$39:$B$45+1))</f>
        <v>0</v>
      </c>
      <c r="G13" s="48" t="n">
        <f aca="false">F13*$C13</f>
        <v>0</v>
      </c>
      <c r="H13" s="47" t="n">
        <f aca="false">$A13*Παραδοχές!$D$28</f>
        <v>24</v>
      </c>
      <c r="I13" s="48" t="n">
        <f aca="false">H13*$C13</f>
        <v>109.2</v>
      </c>
      <c r="J13" s="49" t="n">
        <f aca="false">H13-SUMPRODUCT(Παραδοχές!$D$39:$D$45,(H13&gt;Παραδοχές!$C$39:$C$45)*(Παραδοχές!$C$39:$C$45-Παραδοχές!$B$39:$B$45+1)+(H13&gt;=Παραδοχές!$B$39:$B$45)*(H13&lt;=Παραδοχές!$C$39:$C$45)*(H13-Παραδοχές!$B$39:$B$45+1))</f>
        <v>22.15</v>
      </c>
      <c r="K13" s="48" t="n">
        <f aca="false">J13*$C13</f>
        <v>100.7825</v>
      </c>
      <c r="L13" s="47" t="n">
        <f aca="false">$A13*Παραδοχές!$E$28</f>
        <v>0</v>
      </c>
      <c r="M13" s="48" t="n">
        <f aca="false">L13*$C13</f>
        <v>0</v>
      </c>
      <c r="N13" s="49" t="n">
        <f aca="false">L13-SUMPRODUCT(Παραδοχές!$D$39:$D$45,(L13&gt;Παραδοχές!$C$39:$C$45)*(Παραδοχές!$C$39:$C$45-Παραδοχές!$B$39:$B$45+1)+(L13&gt;=Παραδοχές!$B$39:$B$45)*(L13&lt;=Παραδοχές!$C$39:$C$45)*(L13-Παραδοχές!$B$39:$B$45+1))</f>
        <v>0</v>
      </c>
      <c r="O13" s="48" t="n">
        <f aca="false">N13*$C13</f>
        <v>0</v>
      </c>
    </row>
    <row r="14" customFormat="false" ht="14.25" hidden="false" customHeight="true" outlineLevel="0" collapsed="false">
      <c r="A14" s="13" t="n">
        <f aca="false">Σύνοψη!$B$22</f>
        <v>13</v>
      </c>
      <c r="B14" s="12" t="str">
        <f aca="false">Παραδοχές!$B$18</f>
        <v>Πλευρικός Οινοφύτων</v>
      </c>
      <c r="C14" s="9" t="n">
        <f aca="false">Παραδοχές!$C$18</f>
        <v>0.8</v>
      </c>
      <c r="D14" s="42" t="n">
        <f aca="false">$A14*Παραδοχές!$C$25</f>
        <v>0</v>
      </c>
      <c r="E14" s="11" t="n">
        <f aca="false">D14*$C14</f>
        <v>0</v>
      </c>
      <c r="F14" s="43" t="n">
        <f aca="false">D14-SUMPRODUCT(Παραδοχές!$D$39:$D$45,(D14&gt;Παραδοχές!$C$39:$C$45)*(Παραδοχές!$C$39:$C$45-Παραδοχές!$B$39:$B$45+1)+(D14&gt;=Παραδοχές!$B$39:$B$45)*(D14&lt;=Παραδοχές!$C$39:$C$45)*(D14-Παραδοχές!$B$39:$B$45+1))</f>
        <v>0</v>
      </c>
      <c r="G14" s="11" t="n">
        <f aca="false">F14*$C14</f>
        <v>0</v>
      </c>
      <c r="H14" s="42" t="n">
        <f aca="false">$A14*Παραδοχές!$D$25</f>
        <v>0</v>
      </c>
      <c r="I14" s="11" t="n">
        <f aca="false">H14*$C14</f>
        <v>0</v>
      </c>
      <c r="J14" s="43" t="n">
        <f aca="false">H14-SUMPRODUCT(Παραδοχές!$D$39:$D$45,(H14&gt;Παραδοχές!$C$39:$C$45)*(Παραδοχές!$C$39:$C$45-Παραδοχές!$B$39:$B$45+1)+(H14&gt;=Παραδοχές!$B$39:$B$45)*(H14&lt;=Παραδοχές!$C$39:$C$45)*(H14-Παραδοχές!$B$39:$B$45+1))</f>
        <v>0</v>
      </c>
      <c r="K14" s="11" t="n">
        <f aca="false">J14*$C14</f>
        <v>0</v>
      </c>
      <c r="L14" s="42" t="n">
        <f aca="false">$A14*Παραδοχές!$E$25</f>
        <v>13</v>
      </c>
      <c r="M14" s="11" t="n">
        <f aca="false">L14*$C14</f>
        <v>10.4</v>
      </c>
      <c r="N14" s="43" t="n">
        <f aca="false">L14-SUMPRODUCT(Παραδοχές!$D$39:$D$45,(L14&gt;Παραδοχές!$C$39:$C$45)*(Παραδοχές!$C$39:$C$45-Παραδοχές!$B$39:$B$45+1)+(L14&gt;=Παραδοχές!$B$39:$B$45)*(L14&lt;=Παραδοχές!$C$39:$C$45)*(L14-Παραδοχές!$B$39:$B$45+1))</f>
        <v>12.45</v>
      </c>
      <c r="O14" s="11" t="n">
        <f aca="false">N14*$C14</f>
        <v>9.96</v>
      </c>
    </row>
    <row r="15" customFormat="false" ht="14.25" hidden="false" customHeight="true" outlineLevel="0" collapsed="false">
      <c r="A15" s="13" t="n">
        <f aca="false">Σύνοψη!$B$22</f>
        <v>13</v>
      </c>
      <c r="B15" s="12" t="str">
        <f aca="false">Παραδοχές!$B$19</f>
        <v>Πλευρικός Θήβας</v>
      </c>
      <c r="C15" s="9" t="n">
        <f aca="false">Παραδοχές!$C$19</f>
        <v>1.8</v>
      </c>
      <c r="D15" s="42" t="n">
        <f aca="false">$A15*Παραδοχές!$C$26</f>
        <v>26</v>
      </c>
      <c r="E15" s="11" t="n">
        <f aca="false">D15*$C15</f>
        <v>46.8</v>
      </c>
      <c r="F15" s="43" t="n">
        <f aca="false">D15-SUMPRODUCT(Παραδοχές!$D$39:$D$45,(D15&gt;Παραδοχές!$C$39:$C$45)*(Παραδοχές!$C$39:$C$45-Παραδοχές!$B$39:$B$45+1)+(D15&gt;=Παραδοχές!$B$39:$B$45)*(D15&lt;=Παραδοχές!$C$39:$C$45)*(D15-Παραδοχές!$B$39:$B$45+1))</f>
        <v>23.85</v>
      </c>
      <c r="G15" s="11" t="n">
        <f aca="false">F15*$C15</f>
        <v>42.93</v>
      </c>
      <c r="H15" s="42" t="n">
        <f aca="false">$A15*Παραδοχές!$D$26</f>
        <v>0</v>
      </c>
      <c r="I15" s="11" t="n">
        <f aca="false">H15*$C15</f>
        <v>0</v>
      </c>
      <c r="J15" s="43" t="n">
        <f aca="false">H15-SUMPRODUCT(Παραδοχές!$D$39:$D$45,(H15&gt;Παραδοχές!$C$39:$C$45)*(Παραδοχές!$C$39:$C$45-Παραδοχές!$B$39:$B$45+1)+(H15&gt;=Παραδοχές!$B$39:$B$45)*(H15&lt;=Παραδοχές!$C$39:$C$45)*(H15-Παραδοχές!$B$39:$B$45+1))</f>
        <v>0</v>
      </c>
      <c r="K15" s="11" t="n">
        <f aca="false">J15*$C15</f>
        <v>0</v>
      </c>
      <c r="L15" s="42" t="n">
        <f aca="false">$A15*Παραδοχές!$E$26</f>
        <v>26</v>
      </c>
      <c r="M15" s="11" t="n">
        <f aca="false">L15*$C15</f>
        <v>46.8</v>
      </c>
      <c r="N15" s="43" t="n">
        <f aca="false">L15-SUMPRODUCT(Παραδοχές!$D$39:$D$45,(L15&gt;Παραδοχές!$C$39:$C$45)*(Παραδοχές!$C$39:$C$45-Παραδοχές!$B$39:$B$45+1)+(L15&gt;=Παραδοχές!$B$39:$B$45)*(L15&lt;=Παραδοχές!$C$39:$C$45)*(L15-Παραδοχές!$B$39:$B$45+1))</f>
        <v>23.85</v>
      </c>
      <c r="O15" s="11" t="n">
        <f aca="false">N15*$C15</f>
        <v>42.93</v>
      </c>
    </row>
    <row r="16" customFormat="false" ht="14.25" hidden="false" customHeight="true" outlineLevel="0" collapsed="false">
      <c r="A16" s="13" t="n">
        <f aca="false">Σύνοψη!$B$22</f>
        <v>13</v>
      </c>
      <c r="B16" s="12" t="str">
        <f aca="false">Παραδοχές!$B$20</f>
        <v>Μετωπικός Αφιδνών</v>
      </c>
      <c r="C16" s="9" t="n">
        <f aca="false">Παραδοχές!$C$20</f>
        <v>3.9</v>
      </c>
      <c r="D16" s="42" t="n">
        <f aca="false">$A16*Παραδοχές!$C$27</f>
        <v>26</v>
      </c>
      <c r="E16" s="11" t="n">
        <f aca="false">D16*$C16</f>
        <v>101.4</v>
      </c>
      <c r="F16" s="43" t="n">
        <f aca="false">D16-SUMPRODUCT(Παραδοχές!$D$39:$D$45,(D16&gt;Παραδοχές!$C$39:$C$45)*(Παραδοχές!$C$39:$C$45-Παραδοχές!$B$39:$B$45+1)+(D16&gt;=Παραδοχές!$B$39:$B$45)*(D16&lt;=Παραδοχές!$C$39:$C$45)*(D16-Παραδοχές!$B$39:$B$45+1))</f>
        <v>23.85</v>
      </c>
      <c r="G16" s="11" t="n">
        <f aca="false">F16*$C16</f>
        <v>93.015</v>
      </c>
      <c r="H16" s="42" t="n">
        <f aca="false">$A16*Παραδοχές!$D$27</f>
        <v>26</v>
      </c>
      <c r="I16" s="11" t="n">
        <f aca="false">H16*$C16</f>
        <v>101.4</v>
      </c>
      <c r="J16" s="43" t="n">
        <f aca="false">H16-SUMPRODUCT(Παραδοχές!$D$39:$D$45,(H16&gt;Παραδοχές!$C$39:$C$45)*(Παραδοχές!$C$39:$C$45-Παραδοχές!$B$39:$B$45+1)+(H16&gt;=Παραδοχές!$B$39:$B$45)*(H16&lt;=Παραδοχές!$C$39:$C$45)*(H16-Παραδοχές!$B$39:$B$45+1))</f>
        <v>23.85</v>
      </c>
      <c r="K16" s="11" t="n">
        <f aca="false">J16*$C16</f>
        <v>93.015</v>
      </c>
      <c r="L16" s="42" t="n">
        <f aca="false">$A16*Παραδοχές!$E$27</f>
        <v>13</v>
      </c>
      <c r="M16" s="11" t="n">
        <f aca="false">L16*$C16</f>
        <v>50.7</v>
      </c>
      <c r="N16" s="43" t="n">
        <f aca="false">L16-SUMPRODUCT(Παραδοχές!$D$39:$D$45,(L16&gt;Παραδοχές!$C$39:$C$45)*(Παραδοχές!$C$39:$C$45-Παραδοχές!$B$39:$B$45+1)+(L16&gt;=Παραδοχές!$B$39:$B$45)*(L16&lt;=Παραδοχές!$C$39:$C$45)*(L16-Παραδοχές!$B$39:$B$45+1))</f>
        <v>12.45</v>
      </c>
      <c r="O16" s="11" t="n">
        <f aca="false">N16*$C16</f>
        <v>48.555</v>
      </c>
    </row>
    <row r="17" customFormat="false" ht="14.25" hidden="false" customHeight="true" outlineLevel="0" collapsed="false">
      <c r="A17" s="44" t="n">
        <f aca="false">Σύνοψη!$B$22</f>
        <v>13</v>
      </c>
      <c r="B17" s="45" t="str">
        <f aca="false">Παραδοχές!$B$21</f>
        <v>Μετωπικός Θήβας</v>
      </c>
      <c r="C17" s="46" t="n">
        <f aca="false">Παραδοχές!$C$21</f>
        <v>4.55</v>
      </c>
      <c r="D17" s="47" t="n">
        <f aca="false">$A17*Παραδοχές!$C$28</f>
        <v>0</v>
      </c>
      <c r="E17" s="48" t="n">
        <f aca="false">D17*$C17</f>
        <v>0</v>
      </c>
      <c r="F17" s="49" t="n">
        <f aca="false">D17-SUMPRODUCT(Παραδοχές!$D$39:$D$45,(D17&gt;Παραδοχές!$C$39:$C$45)*(Παραδοχές!$C$39:$C$45-Παραδοχές!$B$39:$B$45+1)+(D17&gt;=Παραδοχές!$B$39:$B$45)*(D17&lt;=Παραδοχές!$C$39:$C$45)*(D17-Παραδοχές!$B$39:$B$45+1))</f>
        <v>0</v>
      </c>
      <c r="G17" s="48" t="n">
        <f aca="false">F17*$C17</f>
        <v>0</v>
      </c>
      <c r="H17" s="47" t="n">
        <f aca="false">$A17*Παραδοχές!$D$28</f>
        <v>26</v>
      </c>
      <c r="I17" s="48" t="n">
        <f aca="false">H17*$C17</f>
        <v>118.3</v>
      </c>
      <c r="J17" s="49" t="n">
        <f aca="false">H17-SUMPRODUCT(Παραδοχές!$D$39:$D$45,(H17&gt;Παραδοχές!$C$39:$C$45)*(Παραδοχές!$C$39:$C$45-Παραδοχές!$B$39:$B$45+1)+(H17&gt;=Παραδοχές!$B$39:$B$45)*(H17&lt;=Παραδοχές!$C$39:$C$45)*(H17-Παραδοχές!$B$39:$B$45+1))</f>
        <v>23.85</v>
      </c>
      <c r="K17" s="48" t="n">
        <f aca="false">J17*$C17</f>
        <v>108.5175</v>
      </c>
      <c r="L17" s="47" t="n">
        <f aca="false">$A17*Παραδοχές!$E$28</f>
        <v>0</v>
      </c>
      <c r="M17" s="48" t="n">
        <f aca="false">L17*$C17</f>
        <v>0</v>
      </c>
      <c r="N17" s="49" t="n">
        <f aca="false">L17-SUMPRODUCT(Παραδοχές!$D$39:$D$45,(L17&gt;Παραδοχές!$C$39:$C$45)*(Παραδοχές!$C$39:$C$45-Παραδοχές!$B$39:$B$45+1)+(L17&gt;=Παραδοχές!$B$39:$B$45)*(L17&lt;=Παραδοχές!$C$39:$C$45)*(L17-Παραδοχές!$B$39:$B$45+1))</f>
        <v>0</v>
      </c>
      <c r="O17" s="48" t="n">
        <f aca="false">N17*$C17</f>
        <v>0</v>
      </c>
    </row>
    <row r="18" customFormat="false" ht="14.25" hidden="false" customHeight="true" outlineLevel="0" collapsed="false">
      <c r="A18" s="13" t="n">
        <f aca="false">Σύνοψη!$B$23</f>
        <v>14</v>
      </c>
      <c r="B18" s="12" t="str">
        <f aca="false">Παραδοχές!$B$18</f>
        <v>Πλευρικός Οινοφύτων</v>
      </c>
      <c r="C18" s="9" t="n">
        <f aca="false">Παραδοχές!$C$18</f>
        <v>0.8</v>
      </c>
      <c r="D18" s="42" t="n">
        <f aca="false">$A18*Παραδοχές!$C$25</f>
        <v>0</v>
      </c>
      <c r="E18" s="11" t="n">
        <f aca="false">D18*$C18</f>
        <v>0</v>
      </c>
      <c r="F18" s="43" t="n">
        <f aca="false">D18-SUMPRODUCT(Παραδοχές!$D$39:$D$45,(D18&gt;Παραδοχές!$C$39:$C$45)*(Παραδοχές!$C$39:$C$45-Παραδοχές!$B$39:$B$45+1)+(D18&gt;=Παραδοχές!$B$39:$B$45)*(D18&lt;=Παραδοχές!$C$39:$C$45)*(D18-Παραδοχές!$B$39:$B$45+1))</f>
        <v>0</v>
      </c>
      <c r="G18" s="11" t="n">
        <f aca="false">F18*$C18</f>
        <v>0</v>
      </c>
      <c r="H18" s="42" t="n">
        <f aca="false">$A18*Παραδοχές!$D$25</f>
        <v>0</v>
      </c>
      <c r="I18" s="11" t="n">
        <f aca="false">H18*$C18</f>
        <v>0</v>
      </c>
      <c r="J18" s="43" t="n">
        <f aca="false">H18-SUMPRODUCT(Παραδοχές!$D$39:$D$45,(H18&gt;Παραδοχές!$C$39:$C$45)*(Παραδοχές!$C$39:$C$45-Παραδοχές!$B$39:$B$45+1)+(H18&gt;=Παραδοχές!$B$39:$B$45)*(H18&lt;=Παραδοχές!$C$39:$C$45)*(H18-Παραδοχές!$B$39:$B$45+1))</f>
        <v>0</v>
      </c>
      <c r="K18" s="11" t="n">
        <f aca="false">J18*$C18</f>
        <v>0</v>
      </c>
      <c r="L18" s="42" t="n">
        <f aca="false">$A18*Παραδοχές!$E$25</f>
        <v>14</v>
      </c>
      <c r="M18" s="11" t="n">
        <f aca="false">L18*$C18</f>
        <v>11.2</v>
      </c>
      <c r="N18" s="43" t="n">
        <f aca="false">L18-SUMPRODUCT(Παραδοχές!$D$39:$D$45,(L18&gt;Παραδοχές!$C$39:$C$45)*(Παραδοχές!$C$39:$C$45-Παραδοχές!$B$39:$B$45+1)+(L18&gt;=Παραδοχές!$B$39:$B$45)*(L18&lt;=Παραδοχές!$C$39:$C$45)*(L18-Παραδοχές!$B$39:$B$45+1))</f>
        <v>13.35</v>
      </c>
      <c r="O18" s="11" t="n">
        <f aca="false">N18*$C18</f>
        <v>10.68</v>
      </c>
    </row>
    <row r="19" customFormat="false" ht="14.25" hidden="false" customHeight="true" outlineLevel="0" collapsed="false">
      <c r="A19" s="13" t="n">
        <f aca="false">Σύνοψη!$B$23</f>
        <v>14</v>
      </c>
      <c r="B19" s="12" t="str">
        <f aca="false">Παραδοχές!$B$19</f>
        <v>Πλευρικός Θήβας</v>
      </c>
      <c r="C19" s="9" t="n">
        <f aca="false">Παραδοχές!$C$19</f>
        <v>1.8</v>
      </c>
      <c r="D19" s="42" t="n">
        <f aca="false">$A19*Παραδοχές!$C$26</f>
        <v>28</v>
      </c>
      <c r="E19" s="11" t="n">
        <f aca="false">D19*$C19</f>
        <v>50.4</v>
      </c>
      <c r="F19" s="43" t="n">
        <f aca="false">D19-SUMPRODUCT(Παραδοχές!$D$39:$D$45,(D19&gt;Παραδοχές!$C$39:$C$45)*(Παραδοχές!$C$39:$C$45-Παραδοχές!$B$39:$B$45+1)+(D19&gt;=Παραδοχές!$B$39:$B$45)*(D19&lt;=Παραδοχές!$C$39:$C$45)*(D19-Παραδοχές!$B$39:$B$45+1))</f>
        <v>25.55</v>
      </c>
      <c r="G19" s="11" t="n">
        <f aca="false">F19*$C19</f>
        <v>45.99</v>
      </c>
      <c r="H19" s="42" t="n">
        <f aca="false">$A19*Παραδοχές!$D$26</f>
        <v>0</v>
      </c>
      <c r="I19" s="11" t="n">
        <f aca="false">H19*$C19</f>
        <v>0</v>
      </c>
      <c r="J19" s="43" t="n">
        <f aca="false">H19-SUMPRODUCT(Παραδοχές!$D$39:$D$45,(H19&gt;Παραδοχές!$C$39:$C$45)*(Παραδοχές!$C$39:$C$45-Παραδοχές!$B$39:$B$45+1)+(H19&gt;=Παραδοχές!$B$39:$B$45)*(H19&lt;=Παραδοχές!$C$39:$C$45)*(H19-Παραδοχές!$B$39:$B$45+1))</f>
        <v>0</v>
      </c>
      <c r="K19" s="11" t="n">
        <f aca="false">J19*$C19</f>
        <v>0</v>
      </c>
      <c r="L19" s="42" t="n">
        <f aca="false">$A19*Παραδοχές!$E$26</f>
        <v>28</v>
      </c>
      <c r="M19" s="11" t="n">
        <f aca="false">L19*$C19</f>
        <v>50.4</v>
      </c>
      <c r="N19" s="43" t="n">
        <f aca="false">L19-SUMPRODUCT(Παραδοχές!$D$39:$D$45,(L19&gt;Παραδοχές!$C$39:$C$45)*(Παραδοχές!$C$39:$C$45-Παραδοχές!$B$39:$B$45+1)+(L19&gt;=Παραδοχές!$B$39:$B$45)*(L19&lt;=Παραδοχές!$C$39:$C$45)*(L19-Παραδοχές!$B$39:$B$45+1))</f>
        <v>25.55</v>
      </c>
      <c r="O19" s="11" t="n">
        <f aca="false">N19*$C19</f>
        <v>45.99</v>
      </c>
    </row>
    <row r="20" customFormat="false" ht="14.25" hidden="false" customHeight="true" outlineLevel="0" collapsed="false">
      <c r="A20" s="13" t="n">
        <f aca="false">Σύνοψη!$B$23</f>
        <v>14</v>
      </c>
      <c r="B20" s="12" t="str">
        <f aca="false">Παραδοχές!$B$20</f>
        <v>Μετωπικός Αφιδνών</v>
      </c>
      <c r="C20" s="9" t="n">
        <f aca="false">Παραδοχές!$C$20</f>
        <v>3.9</v>
      </c>
      <c r="D20" s="42" t="n">
        <f aca="false">$A20*Παραδοχές!$C$27</f>
        <v>28</v>
      </c>
      <c r="E20" s="11" t="n">
        <f aca="false">D20*$C20</f>
        <v>109.2</v>
      </c>
      <c r="F20" s="43" t="n">
        <f aca="false">D20-SUMPRODUCT(Παραδοχές!$D$39:$D$45,(D20&gt;Παραδοχές!$C$39:$C$45)*(Παραδοχές!$C$39:$C$45-Παραδοχές!$B$39:$B$45+1)+(D20&gt;=Παραδοχές!$B$39:$B$45)*(D20&lt;=Παραδοχές!$C$39:$C$45)*(D20-Παραδοχές!$B$39:$B$45+1))</f>
        <v>25.55</v>
      </c>
      <c r="G20" s="11" t="n">
        <f aca="false">F20*$C20</f>
        <v>99.645</v>
      </c>
      <c r="H20" s="42" t="n">
        <f aca="false">$A20*Παραδοχές!$D$27</f>
        <v>28</v>
      </c>
      <c r="I20" s="11" t="n">
        <f aca="false">H20*$C20</f>
        <v>109.2</v>
      </c>
      <c r="J20" s="43" t="n">
        <f aca="false">H20-SUMPRODUCT(Παραδοχές!$D$39:$D$45,(H20&gt;Παραδοχές!$C$39:$C$45)*(Παραδοχές!$C$39:$C$45-Παραδοχές!$B$39:$B$45+1)+(H20&gt;=Παραδοχές!$B$39:$B$45)*(H20&lt;=Παραδοχές!$C$39:$C$45)*(H20-Παραδοχές!$B$39:$B$45+1))</f>
        <v>25.55</v>
      </c>
      <c r="K20" s="11" t="n">
        <f aca="false">J20*$C20</f>
        <v>99.645</v>
      </c>
      <c r="L20" s="42" t="n">
        <f aca="false">$A20*Παραδοχές!$E$27</f>
        <v>14</v>
      </c>
      <c r="M20" s="11" t="n">
        <f aca="false">L20*$C20</f>
        <v>54.6</v>
      </c>
      <c r="N20" s="43" t="n">
        <f aca="false">L20-SUMPRODUCT(Παραδοχές!$D$39:$D$45,(L20&gt;Παραδοχές!$C$39:$C$45)*(Παραδοχές!$C$39:$C$45-Παραδοχές!$B$39:$B$45+1)+(L20&gt;=Παραδοχές!$B$39:$B$45)*(L20&lt;=Παραδοχές!$C$39:$C$45)*(L20-Παραδοχές!$B$39:$B$45+1))</f>
        <v>13.35</v>
      </c>
      <c r="O20" s="11" t="n">
        <f aca="false">N20*$C20</f>
        <v>52.065</v>
      </c>
    </row>
    <row r="21" customFormat="false" ht="14.25" hidden="false" customHeight="true" outlineLevel="0" collapsed="false">
      <c r="A21" s="44" t="n">
        <f aca="false">Σύνοψη!$B$23</f>
        <v>14</v>
      </c>
      <c r="B21" s="45" t="str">
        <f aca="false">Παραδοχές!$B$21</f>
        <v>Μετωπικός Θήβας</v>
      </c>
      <c r="C21" s="46" t="n">
        <f aca="false">Παραδοχές!$C$21</f>
        <v>4.55</v>
      </c>
      <c r="D21" s="47" t="n">
        <f aca="false">$A21*Παραδοχές!$C$28</f>
        <v>0</v>
      </c>
      <c r="E21" s="48" t="n">
        <f aca="false">D21*$C21</f>
        <v>0</v>
      </c>
      <c r="F21" s="49" t="n">
        <f aca="false">D21-SUMPRODUCT(Παραδοχές!$D$39:$D$45,(D21&gt;Παραδοχές!$C$39:$C$45)*(Παραδοχές!$C$39:$C$45-Παραδοχές!$B$39:$B$45+1)+(D21&gt;=Παραδοχές!$B$39:$B$45)*(D21&lt;=Παραδοχές!$C$39:$C$45)*(D21-Παραδοχές!$B$39:$B$45+1))</f>
        <v>0</v>
      </c>
      <c r="G21" s="48" t="n">
        <f aca="false">F21*$C21</f>
        <v>0</v>
      </c>
      <c r="H21" s="47" t="n">
        <f aca="false">$A21*Παραδοχές!$D$28</f>
        <v>28</v>
      </c>
      <c r="I21" s="48" t="n">
        <f aca="false">H21*$C21</f>
        <v>127.4</v>
      </c>
      <c r="J21" s="49" t="n">
        <f aca="false">H21-SUMPRODUCT(Παραδοχές!$D$39:$D$45,(H21&gt;Παραδοχές!$C$39:$C$45)*(Παραδοχές!$C$39:$C$45-Παραδοχές!$B$39:$B$45+1)+(H21&gt;=Παραδοχές!$B$39:$B$45)*(H21&lt;=Παραδοχές!$C$39:$C$45)*(H21-Παραδοχές!$B$39:$B$45+1))</f>
        <v>25.55</v>
      </c>
      <c r="K21" s="48" t="n">
        <f aca="false">J21*$C21</f>
        <v>116.2525</v>
      </c>
      <c r="L21" s="47" t="n">
        <f aca="false">$A21*Παραδοχές!$E$28</f>
        <v>0</v>
      </c>
      <c r="M21" s="48" t="n">
        <f aca="false">L21*$C21</f>
        <v>0</v>
      </c>
      <c r="N21" s="49" t="n">
        <f aca="false">L21-SUMPRODUCT(Παραδοχές!$D$39:$D$45,(L21&gt;Παραδοχές!$C$39:$C$45)*(Παραδοχές!$C$39:$C$45-Παραδοχές!$B$39:$B$45+1)+(L21&gt;=Παραδοχές!$B$39:$B$45)*(L21&lt;=Παραδοχές!$C$39:$C$45)*(L21-Παραδοχές!$B$39:$B$45+1))</f>
        <v>0</v>
      </c>
      <c r="O21" s="48" t="n">
        <f aca="false">N21*$C21</f>
        <v>0</v>
      </c>
    </row>
    <row r="22" customFormat="false" ht="14.25" hidden="false" customHeight="true" outlineLevel="0" collapsed="false">
      <c r="A22" s="13" t="n">
        <f aca="false">Σύνοψη!$B$24</f>
        <v>15</v>
      </c>
      <c r="B22" s="12" t="str">
        <f aca="false">Παραδοχές!$B$18</f>
        <v>Πλευρικός Οινοφύτων</v>
      </c>
      <c r="C22" s="9" t="n">
        <f aca="false">Παραδοχές!$C$18</f>
        <v>0.8</v>
      </c>
      <c r="D22" s="42" t="n">
        <f aca="false">$A22*Παραδοχές!$C$25</f>
        <v>0</v>
      </c>
      <c r="E22" s="11" t="n">
        <f aca="false">D22*$C22</f>
        <v>0</v>
      </c>
      <c r="F22" s="43" t="n">
        <f aca="false">D22-SUMPRODUCT(Παραδοχές!$D$39:$D$45,(D22&gt;Παραδοχές!$C$39:$C$45)*(Παραδοχές!$C$39:$C$45-Παραδοχές!$B$39:$B$45+1)+(D22&gt;=Παραδοχές!$B$39:$B$45)*(D22&lt;=Παραδοχές!$C$39:$C$45)*(D22-Παραδοχές!$B$39:$B$45+1))</f>
        <v>0</v>
      </c>
      <c r="G22" s="11" t="n">
        <f aca="false">F22*$C22</f>
        <v>0</v>
      </c>
      <c r="H22" s="42" t="n">
        <f aca="false">$A22*Παραδοχές!$D$25</f>
        <v>0</v>
      </c>
      <c r="I22" s="11" t="n">
        <f aca="false">H22*$C22</f>
        <v>0</v>
      </c>
      <c r="J22" s="43" t="n">
        <f aca="false">H22-SUMPRODUCT(Παραδοχές!$D$39:$D$45,(H22&gt;Παραδοχές!$C$39:$C$45)*(Παραδοχές!$C$39:$C$45-Παραδοχές!$B$39:$B$45+1)+(H22&gt;=Παραδοχές!$B$39:$B$45)*(H22&lt;=Παραδοχές!$C$39:$C$45)*(H22-Παραδοχές!$B$39:$B$45+1))</f>
        <v>0</v>
      </c>
      <c r="K22" s="11" t="n">
        <f aca="false">J22*$C22</f>
        <v>0</v>
      </c>
      <c r="L22" s="42" t="n">
        <f aca="false">$A22*Παραδοχές!$E$25</f>
        <v>15</v>
      </c>
      <c r="M22" s="11" t="n">
        <f aca="false">L22*$C22</f>
        <v>12</v>
      </c>
      <c r="N22" s="43" t="n">
        <f aca="false">L22-SUMPRODUCT(Παραδοχές!$D$39:$D$45,(L22&gt;Παραδοχές!$C$39:$C$45)*(Παραδοχές!$C$39:$C$45-Παραδοχές!$B$39:$B$45+1)+(L22&gt;=Παραδοχές!$B$39:$B$45)*(L22&lt;=Παραδοχές!$C$39:$C$45)*(L22-Παραδοχές!$B$39:$B$45+1))</f>
        <v>14.25</v>
      </c>
      <c r="O22" s="11" t="n">
        <f aca="false">N22*$C22</f>
        <v>11.4</v>
      </c>
    </row>
    <row r="23" customFormat="false" ht="14.25" hidden="false" customHeight="true" outlineLevel="0" collapsed="false">
      <c r="A23" s="13" t="n">
        <f aca="false">Σύνοψη!$B$24</f>
        <v>15</v>
      </c>
      <c r="B23" s="12" t="str">
        <f aca="false">Παραδοχές!$B$19</f>
        <v>Πλευρικός Θήβας</v>
      </c>
      <c r="C23" s="9" t="n">
        <f aca="false">Παραδοχές!$C$19</f>
        <v>1.8</v>
      </c>
      <c r="D23" s="42" t="n">
        <f aca="false">$A23*Παραδοχές!$C$26</f>
        <v>30</v>
      </c>
      <c r="E23" s="11" t="n">
        <f aca="false">D23*$C23</f>
        <v>54</v>
      </c>
      <c r="F23" s="43" t="n">
        <f aca="false">D23-SUMPRODUCT(Παραδοχές!$D$39:$D$45,(D23&gt;Παραδοχές!$C$39:$C$45)*(Παραδοχές!$C$39:$C$45-Παραδοχές!$B$39:$B$45+1)+(D23&gt;=Παραδοχές!$B$39:$B$45)*(D23&lt;=Παραδοχές!$C$39:$C$45)*(D23-Παραδοχές!$B$39:$B$45+1))</f>
        <v>27.25</v>
      </c>
      <c r="G23" s="11" t="n">
        <f aca="false">F23*$C23</f>
        <v>49.05</v>
      </c>
      <c r="H23" s="42" t="n">
        <f aca="false">$A23*Παραδοχές!$D$26</f>
        <v>0</v>
      </c>
      <c r="I23" s="11" t="n">
        <f aca="false">H23*$C23</f>
        <v>0</v>
      </c>
      <c r="J23" s="43" t="n">
        <f aca="false">H23-SUMPRODUCT(Παραδοχές!$D$39:$D$45,(H23&gt;Παραδοχές!$C$39:$C$45)*(Παραδοχές!$C$39:$C$45-Παραδοχές!$B$39:$B$45+1)+(H23&gt;=Παραδοχές!$B$39:$B$45)*(H23&lt;=Παραδοχές!$C$39:$C$45)*(H23-Παραδοχές!$B$39:$B$45+1))</f>
        <v>0</v>
      </c>
      <c r="K23" s="11" t="n">
        <f aca="false">J23*$C23</f>
        <v>0</v>
      </c>
      <c r="L23" s="42" t="n">
        <f aca="false">$A23*Παραδοχές!$E$26</f>
        <v>30</v>
      </c>
      <c r="M23" s="11" t="n">
        <f aca="false">L23*$C23</f>
        <v>54</v>
      </c>
      <c r="N23" s="43" t="n">
        <f aca="false">L23-SUMPRODUCT(Παραδοχές!$D$39:$D$45,(L23&gt;Παραδοχές!$C$39:$C$45)*(Παραδοχές!$C$39:$C$45-Παραδοχές!$B$39:$B$45+1)+(L23&gt;=Παραδοχές!$B$39:$B$45)*(L23&lt;=Παραδοχές!$C$39:$C$45)*(L23-Παραδοχές!$B$39:$B$45+1))</f>
        <v>27.25</v>
      </c>
      <c r="O23" s="11" t="n">
        <f aca="false">N23*$C23</f>
        <v>49.05</v>
      </c>
    </row>
    <row r="24" customFormat="false" ht="14.25" hidden="false" customHeight="true" outlineLevel="0" collapsed="false">
      <c r="A24" s="13" t="n">
        <f aca="false">Σύνοψη!$B$24</f>
        <v>15</v>
      </c>
      <c r="B24" s="12" t="str">
        <f aca="false">Παραδοχές!$B$20</f>
        <v>Μετωπικός Αφιδνών</v>
      </c>
      <c r="C24" s="9" t="n">
        <f aca="false">Παραδοχές!$C$20</f>
        <v>3.9</v>
      </c>
      <c r="D24" s="42" t="n">
        <f aca="false">$A24*Παραδοχές!$C$27</f>
        <v>30</v>
      </c>
      <c r="E24" s="11" t="n">
        <f aca="false">D24*$C24</f>
        <v>117</v>
      </c>
      <c r="F24" s="43" t="n">
        <f aca="false">D24-SUMPRODUCT(Παραδοχές!$D$39:$D$45,(D24&gt;Παραδοχές!$C$39:$C$45)*(Παραδοχές!$C$39:$C$45-Παραδοχές!$B$39:$B$45+1)+(D24&gt;=Παραδοχές!$B$39:$B$45)*(D24&lt;=Παραδοχές!$C$39:$C$45)*(D24-Παραδοχές!$B$39:$B$45+1))</f>
        <v>27.25</v>
      </c>
      <c r="G24" s="11" t="n">
        <f aca="false">F24*$C24</f>
        <v>106.275</v>
      </c>
      <c r="H24" s="42" t="n">
        <f aca="false">$A24*Παραδοχές!$D$27</f>
        <v>30</v>
      </c>
      <c r="I24" s="11" t="n">
        <f aca="false">H24*$C24</f>
        <v>117</v>
      </c>
      <c r="J24" s="43" t="n">
        <f aca="false">H24-SUMPRODUCT(Παραδοχές!$D$39:$D$45,(H24&gt;Παραδοχές!$C$39:$C$45)*(Παραδοχές!$C$39:$C$45-Παραδοχές!$B$39:$B$45+1)+(H24&gt;=Παραδοχές!$B$39:$B$45)*(H24&lt;=Παραδοχές!$C$39:$C$45)*(H24-Παραδοχές!$B$39:$B$45+1))</f>
        <v>27.25</v>
      </c>
      <c r="K24" s="11" t="n">
        <f aca="false">J24*$C24</f>
        <v>106.275</v>
      </c>
      <c r="L24" s="42" t="n">
        <f aca="false">$A24*Παραδοχές!$E$27</f>
        <v>15</v>
      </c>
      <c r="M24" s="11" t="n">
        <f aca="false">L24*$C24</f>
        <v>58.5</v>
      </c>
      <c r="N24" s="43" t="n">
        <f aca="false">L24-SUMPRODUCT(Παραδοχές!$D$39:$D$45,(L24&gt;Παραδοχές!$C$39:$C$45)*(Παραδοχές!$C$39:$C$45-Παραδοχές!$B$39:$B$45+1)+(L24&gt;=Παραδοχές!$B$39:$B$45)*(L24&lt;=Παραδοχές!$C$39:$C$45)*(L24-Παραδοχές!$B$39:$B$45+1))</f>
        <v>14.25</v>
      </c>
      <c r="O24" s="11" t="n">
        <f aca="false">N24*$C24</f>
        <v>55.575</v>
      </c>
    </row>
    <row r="25" customFormat="false" ht="14.25" hidden="false" customHeight="true" outlineLevel="0" collapsed="false">
      <c r="A25" s="13" t="n">
        <f aca="false">Σύνοψη!$B$24</f>
        <v>15</v>
      </c>
      <c r="B25" s="12" t="str">
        <f aca="false">Παραδοχές!$B$21</f>
        <v>Μετωπικός Θήβας</v>
      </c>
      <c r="C25" s="9" t="n">
        <f aca="false">Παραδοχές!$C$21</f>
        <v>4.55</v>
      </c>
      <c r="D25" s="42" t="n">
        <f aca="false">$A25*Παραδοχές!$C$28</f>
        <v>0</v>
      </c>
      <c r="E25" s="11" t="n">
        <f aca="false">D25*$C25</f>
        <v>0</v>
      </c>
      <c r="F25" s="43" t="n">
        <f aca="false">D25-SUMPRODUCT(Παραδοχές!$D$39:$D$45,(D25&gt;Παραδοχές!$C$39:$C$45)*(Παραδοχές!$C$39:$C$45-Παραδοχές!$B$39:$B$45+1)+(D25&gt;=Παραδοχές!$B$39:$B$45)*(D25&lt;=Παραδοχές!$C$39:$C$45)*(D25-Παραδοχές!$B$39:$B$45+1))</f>
        <v>0</v>
      </c>
      <c r="G25" s="11" t="n">
        <f aca="false">F25*$C25</f>
        <v>0</v>
      </c>
      <c r="H25" s="42" t="n">
        <f aca="false">$A25*Παραδοχές!$D$28</f>
        <v>30</v>
      </c>
      <c r="I25" s="11" t="n">
        <f aca="false">H25*$C25</f>
        <v>136.5</v>
      </c>
      <c r="J25" s="43" t="n">
        <f aca="false">H25-SUMPRODUCT(Παραδοχές!$D$39:$D$45,(H25&gt;Παραδοχές!$C$39:$C$45)*(Παραδοχές!$C$39:$C$45-Παραδοχές!$B$39:$B$45+1)+(H25&gt;=Παραδοχές!$B$39:$B$45)*(H25&lt;=Παραδοχές!$C$39:$C$45)*(H25-Παραδοχές!$B$39:$B$45+1))</f>
        <v>27.25</v>
      </c>
      <c r="K25" s="11" t="n">
        <f aca="false">J25*$C25</f>
        <v>123.9875</v>
      </c>
      <c r="L25" s="42" t="n">
        <f aca="false">$A25*Παραδοχές!$E$28</f>
        <v>0</v>
      </c>
      <c r="M25" s="11" t="n">
        <f aca="false">L25*$C25</f>
        <v>0</v>
      </c>
      <c r="N25" s="43" t="n">
        <f aca="false">L25-SUMPRODUCT(Παραδοχές!$D$39:$D$45,(L25&gt;Παραδοχές!$C$39:$C$45)*(Παραδοχές!$C$39:$C$45-Παραδοχές!$B$39:$B$45+1)+(L25&gt;=Παραδοχές!$B$39:$B$45)*(L25&lt;=Παραδοχές!$C$39:$C$45)*(L25-Παραδοχές!$B$39:$B$45+1))</f>
        <v>0</v>
      </c>
      <c r="O25" s="11" t="n">
        <f aca="false">N25*$C25</f>
        <v>0</v>
      </c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4.25" hidden="false" customHeight="true" outlineLevel="0" collapsed="false">
      <c r="A27" s="4" t="s">
        <v>124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mergeCells count="4">
    <mergeCell ref="A4:C4"/>
    <mergeCell ref="D4:G4"/>
    <mergeCell ref="H4:K4"/>
    <mergeCell ref="L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2026-10-07T12:17:12Z</dcterms:created>
  <dc:creator>openpyxl</dc:creator>
  <dc:description/>
  <dc:language>en-US</dc:language>
  <cp:lastModifiedBy>Karolos Geroulanos</cp:lastModifiedBy>
  <dcterms:modified xsi:type="dcterms:W3CDTF">2026-10-08T19:13:37Z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