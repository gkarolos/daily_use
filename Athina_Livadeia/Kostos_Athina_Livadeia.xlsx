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karo\AppData\Local\Temp\xl_recalc_livadeia\"/>
    </mc:Choice>
  </mc:AlternateContent>
  <xr:revisionPtr revIDLastSave="0" documentId="13_ncr:1_{80E40348-BF9F-4476-95AD-60CCE195A20E}" xr6:coauthVersionLast="47" xr6:coauthVersionMax="47" xr10:uidLastSave="{00000000-0000-0000-0000-000000000000}"/>
  <bookViews>
    <workbookView xWindow="1080" yWindow="1080" windowWidth="12864" windowHeight="10404" xr2:uid="{00000000-000D-0000-FFFF-FFFF00000000}"/>
  </bookViews>
  <sheets>
    <sheet name="Σύνοψη" sheetId="1" r:id="rId1"/>
    <sheet name="Παραδοχές" sheetId="2" r:id="rId2"/>
    <sheet name="Υπολογισμός διοδίων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3" l="1"/>
  <c r="B25" i="3"/>
  <c r="A25" i="3"/>
  <c r="L25" i="3" s="1"/>
  <c r="N25" i="3" s="1"/>
  <c r="O25" i="3" s="1"/>
  <c r="L24" i="3"/>
  <c r="N24" i="3" s="1"/>
  <c r="H24" i="3"/>
  <c r="J24" i="3" s="1"/>
  <c r="C24" i="3"/>
  <c r="B24" i="3"/>
  <c r="A24" i="3"/>
  <c r="D24" i="3" s="1"/>
  <c r="C23" i="3"/>
  <c r="B23" i="3"/>
  <c r="A23" i="3"/>
  <c r="H23" i="3" s="1"/>
  <c r="I23" i="3" s="1"/>
  <c r="C22" i="3"/>
  <c r="B22" i="3"/>
  <c r="A22" i="3"/>
  <c r="L21" i="3"/>
  <c r="N21" i="3" s="1"/>
  <c r="H21" i="3"/>
  <c r="J21" i="3" s="1"/>
  <c r="D21" i="3"/>
  <c r="F21" i="3" s="1"/>
  <c r="C21" i="3"/>
  <c r="B21" i="3"/>
  <c r="A21" i="3"/>
  <c r="C20" i="3"/>
  <c r="B20" i="3"/>
  <c r="A20" i="3"/>
  <c r="D20" i="3" s="1"/>
  <c r="C19" i="3"/>
  <c r="B19" i="3"/>
  <c r="A19" i="3"/>
  <c r="H19" i="3" s="1"/>
  <c r="I19" i="3" s="1"/>
  <c r="C18" i="3"/>
  <c r="B18" i="3"/>
  <c r="A18" i="3"/>
  <c r="C17" i="3"/>
  <c r="B17" i="3"/>
  <c r="A17" i="3"/>
  <c r="L17" i="3" s="1"/>
  <c r="N17" i="3" s="1"/>
  <c r="O17" i="3" s="1"/>
  <c r="L16" i="3"/>
  <c r="N16" i="3" s="1"/>
  <c r="H16" i="3"/>
  <c r="J16" i="3" s="1"/>
  <c r="C16" i="3"/>
  <c r="B16" i="3"/>
  <c r="A16" i="3"/>
  <c r="D16" i="3" s="1"/>
  <c r="C15" i="3"/>
  <c r="B15" i="3"/>
  <c r="A15" i="3"/>
  <c r="H15" i="3" s="1"/>
  <c r="I15" i="3" s="1"/>
  <c r="C14" i="3"/>
  <c r="B14" i="3"/>
  <c r="A14" i="3"/>
  <c r="L13" i="3"/>
  <c r="N13" i="3" s="1"/>
  <c r="O13" i="3" s="1"/>
  <c r="H13" i="3"/>
  <c r="J13" i="3" s="1"/>
  <c r="K13" i="3" s="1"/>
  <c r="C13" i="3"/>
  <c r="B13" i="3"/>
  <c r="A13" i="3"/>
  <c r="D13" i="3" s="1"/>
  <c r="C12" i="3"/>
  <c r="B12" i="3"/>
  <c r="A12" i="3"/>
  <c r="D12" i="3" s="1"/>
  <c r="L11" i="3"/>
  <c r="J11" i="3"/>
  <c r="K11" i="3" s="1"/>
  <c r="C11" i="3"/>
  <c r="B11" i="3"/>
  <c r="A11" i="3"/>
  <c r="H11" i="3" s="1"/>
  <c r="I11" i="3" s="1"/>
  <c r="C10" i="3"/>
  <c r="B10" i="3"/>
  <c r="A10" i="3"/>
  <c r="C9" i="3"/>
  <c r="B9" i="3"/>
  <c r="C8" i="3"/>
  <c r="B8" i="3"/>
  <c r="C7" i="3"/>
  <c r="B7" i="3"/>
  <c r="C6" i="3"/>
  <c r="B6" i="3"/>
  <c r="E29" i="2"/>
  <c r="D29" i="2"/>
  <c r="C29" i="2"/>
  <c r="B28" i="2"/>
  <c r="B27" i="2"/>
  <c r="B26" i="2"/>
  <c r="B25" i="2"/>
  <c r="C13" i="2"/>
  <c r="C14" i="2" s="1"/>
  <c r="C7" i="1" s="1"/>
  <c r="C12" i="2"/>
  <c r="A6" i="3" s="1"/>
  <c r="B33" i="1"/>
  <c r="B32" i="1"/>
  <c r="B31" i="1"/>
  <c r="B30" i="1"/>
  <c r="B29" i="1"/>
  <c r="B28" i="1"/>
  <c r="B16" i="1"/>
  <c r="A16" i="1"/>
  <c r="B15" i="1"/>
  <c r="A15" i="1"/>
  <c r="B14" i="1"/>
  <c r="A14" i="1"/>
  <c r="B13" i="1"/>
  <c r="A13" i="1"/>
  <c r="E13" i="3" l="1"/>
  <c r="F13" i="3"/>
  <c r="G13" i="3" s="1"/>
  <c r="G21" i="3"/>
  <c r="I16" i="3"/>
  <c r="K24" i="3"/>
  <c r="O21" i="3"/>
  <c r="L19" i="3"/>
  <c r="N19" i="3" s="1"/>
  <c r="O19" i="3" s="1"/>
  <c r="H12" i="3"/>
  <c r="J12" i="3" s="1"/>
  <c r="K12" i="3" s="1"/>
  <c r="L12" i="3"/>
  <c r="N12" i="3" s="1"/>
  <c r="O12" i="3" s="1"/>
  <c r="D17" i="3"/>
  <c r="F17" i="3" s="1"/>
  <c r="G17" i="3" s="1"/>
  <c r="D25" i="3"/>
  <c r="A10" i="1"/>
  <c r="J15" i="3"/>
  <c r="K15" i="3" s="1"/>
  <c r="H17" i="3"/>
  <c r="J17" i="3" s="1"/>
  <c r="K17" i="3" s="1"/>
  <c r="H20" i="3"/>
  <c r="J20" i="3" s="1"/>
  <c r="K20" i="3" s="1"/>
  <c r="K16" i="3"/>
  <c r="K21" i="3"/>
  <c r="O16" i="3"/>
  <c r="O24" i="3"/>
  <c r="C24" i="1"/>
  <c r="L15" i="3"/>
  <c r="M15" i="3" s="1"/>
  <c r="L20" i="3"/>
  <c r="N20" i="3" s="1"/>
  <c r="O20" i="3" s="1"/>
  <c r="L23" i="3"/>
  <c r="M23" i="3" s="1"/>
  <c r="H25" i="3"/>
  <c r="J25" i="3" s="1"/>
  <c r="K25" i="3" s="1"/>
  <c r="I24" i="3"/>
  <c r="L6" i="3"/>
  <c r="H6" i="3"/>
  <c r="D6" i="3"/>
  <c r="L14" i="3"/>
  <c r="D14" i="3"/>
  <c r="H14" i="3"/>
  <c r="F16" i="3"/>
  <c r="G16" i="3" s="1"/>
  <c r="E16" i="3"/>
  <c r="J19" i="3"/>
  <c r="K19" i="3" s="1"/>
  <c r="M19" i="3"/>
  <c r="E21" i="3"/>
  <c r="A9" i="3"/>
  <c r="A7" i="3"/>
  <c r="A8" i="3"/>
  <c r="A4" i="1"/>
  <c r="L18" i="3"/>
  <c r="D18" i="3"/>
  <c r="H18" i="3"/>
  <c r="F20" i="3"/>
  <c r="G20" i="3" s="1"/>
  <c r="E20" i="3"/>
  <c r="J23" i="3"/>
  <c r="K23" i="3" s="1"/>
  <c r="C22" i="1"/>
  <c r="C21" i="1"/>
  <c r="C8" i="1"/>
  <c r="C6" i="1"/>
  <c r="C23" i="1"/>
  <c r="L10" i="3"/>
  <c r="D10" i="3"/>
  <c r="H10" i="3"/>
  <c r="F12" i="3"/>
  <c r="G12" i="3" s="1"/>
  <c r="E12" i="3"/>
  <c r="L22" i="3"/>
  <c r="D22" i="3"/>
  <c r="H22" i="3"/>
  <c r="F24" i="3"/>
  <c r="G24" i="3" s="1"/>
  <c r="E24" i="3"/>
  <c r="M11" i="3"/>
  <c r="N11" i="3"/>
  <c r="O11" i="3" s="1"/>
  <c r="I20" i="3"/>
  <c r="I13" i="3"/>
  <c r="I21" i="3"/>
  <c r="D11" i="3"/>
  <c r="D15" i="3"/>
  <c r="M16" i="3"/>
  <c r="D19" i="3"/>
  <c r="D23" i="3"/>
  <c r="M24" i="3"/>
  <c r="M13" i="3"/>
  <c r="M17" i="3"/>
  <c r="M21" i="3"/>
  <c r="M25" i="3"/>
  <c r="F25" i="3" l="1"/>
  <c r="G25" i="3" s="1"/>
  <c r="E25" i="3"/>
  <c r="M20" i="3"/>
  <c r="M12" i="3"/>
  <c r="E17" i="3"/>
  <c r="I25" i="3"/>
  <c r="N23" i="3"/>
  <c r="O23" i="3" s="1"/>
  <c r="I12" i="3"/>
  <c r="N15" i="3"/>
  <c r="O15" i="3" s="1"/>
  <c r="I17" i="3"/>
  <c r="F23" i="3"/>
  <c r="G23" i="3" s="1"/>
  <c r="E23" i="3"/>
  <c r="I18" i="3"/>
  <c r="J18" i="3"/>
  <c r="K18" i="3" s="1"/>
  <c r="F23" i="1" s="1"/>
  <c r="F19" i="3"/>
  <c r="G19" i="3" s="1"/>
  <c r="E19" i="3"/>
  <c r="I10" i="3"/>
  <c r="J10" i="3"/>
  <c r="K10" i="3" s="1"/>
  <c r="F18" i="3"/>
  <c r="G18" i="3" s="1"/>
  <c r="D23" i="1" s="1"/>
  <c r="E18" i="3"/>
  <c r="E10" i="3"/>
  <c r="F10" i="3"/>
  <c r="G10" i="3" s="1"/>
  <c r="D21" i="1" s="1"/>
  <c r="N18" i="3"/>
  <c r="O18" i="3" s="1"/>
  <c r="E23" i="1" s="1"/>
  <c r="M18" i="3"/>
  <c r="F15" i="3"/>
  <c r="G15" i="3" s="1"/>
  <c r="E15" i="3"/>
  <c r="N10" i="3"/>
  <c r="O10" i="3" s="1"/>
  <c r="M10" i="3"/>
  <c r="I14" i="3"/>
  <c r="J14" i="3"/>
  <c r="K14" i="3" s="1"/>
  <c r="F22" i="1" s="1"/>
  <c r="D8" i="3"/>
  <c r="L8" i="3"/>
  <c r="H8" i="3"/>
  <c r="F14" i="3"/>
  <c r="G14" i="3" s="1"/>
  <c r="D22" i="1" s="1"/>
  <c r="E14" i="3"/>
  <c r="F11" i="3"/>
  <c r="G11" i="3" s="1"/>
  <c r="E11" i="3"/>
  <c r="H7" i="3"/>
  <c r="D7" i="3"/>
  <c r="L7" i="3"/>
  <c r="N14" i="3"/>
  <c r="O14" i="3" s="1"/>
  <c r="M14" i="3"/>
  <c r="I22" i="3"/>
  <c r="J22" i="3"/>
  <c r="K22" i="3" s="1"/>
  <c r="F24" i="1" s="1"/>
  <c r="L9" i="3"/>
  <c r="H9" i="3"/>
  <c r="D9" i="3"/>
  <c r="C13" i="1"/>
  <c r="F6" i="3"/>
  <c r="G6" i="3" s="1"/>
  <c r="E6" i="3"/>
  <c r="F22" i="3"/>
  <c r="G22" i="3" s="1"/>
  <c r="E22" i="3"/>
  <c r="F21" i="1"/>
  <c r="E21" i="1"/>
  <c r="I13" i="1"/>
  <c r="J6" i="3"/>
  <c r="K6" i="3" s="1"/>
  <c r="I6" i="3"/>
  <c r="N22" i="3"/>
  <c r="O22" i="3" s="1"/>
  <c r="E24" i="1" s="1"/>
  <c r="M22" i="3"/>
  <c r="F13" i="1"/>
  <c r="N6" i="3"/>
  <c r="O6" i="3" s="1"/>
  <c r="M6" i="3"/>
  <c r="G23" i="1" l="1"/>
  <c r="E22" i="1"/>
  <c r="G22" i="1" s="1"/>
  <c r="H23" i="1"/>
  <c r="I23" i="1"/>
  <c r="K13" i="1"/>
  <c r="N9" i="3"/>
  <c r="O9" i="3" s="1"/>
  <c r="H16" i="1" s="1"/>
  <c r="M9" i="3"/>
  <c r="G16" i="1" s="1"/>
  <c r="F16" i="1"/>
  <c r="I24" i="1"/>
  <c r="H24" i="1"/>
  <c r="I15" i="1"/>
  <c r="J8" i="3"/>
  <c r="K8" i="3" s="1"/>
  <c r="K15" i="1" s="1"/>
  <c r="I8" i="3"/>
  <c r="J15" i="1" s="1"/>
  <c r="G13" i="1"/>
  <c r="G21" i="1"/>
  <c r="N8" i="3"/>
  <c r="O8" i="3" s="1"/>
  <c r="H15" i="1" s="1"/>
  <c r="M8" i="3"/>
  <c r="G15" i="1" s="1"/>
  <c r="F15" i="1"/>
  <c r="H13" i="1"/>
  <c r="H17" i="1" s="1"/>
  <c r="E7" i="1"/>
  <c r="F7" i="1" s="1"/>
  <c r="I21" i="1"/>
  <c r="H21" i="1"/>
  <c r="F8" i="3"/>
  <c r="G8" i="3" s="1"/>
  <c r="E15" i="1" s="1"/>
  <c r="E8" i="3"/>
  <c r="D15" i="1" s="1"/>
  <c r="C15" i="1"/>
  <c r="D24" i="1"/>
  <c r="M7" i="3"/>
  <c r="G14" i="1" s="1"/>
  <c r="F14" i="1"/>
  <c r="N7" i="3"/>
  <c r="O7" i="3" s="1"/>
  <c r="H14" i="1" s="1"/>
  <c r="D13" i="1"/>
  <c r="F7" i="3"/>
  <c r="G7" i="3" s="1"/>
  <c r="E14" i="1" s="1"/>
  <c r="E7" i="3"/>
  <c r="D14" i="1" s="1"/>
  <c r="C14" i="1"/>
  <c r="H22" i="1"/>
  <c r="I22" i="1"/>
  <c r="E13" i="1"/>
  <c r="I7" i="3"/>
  <c r="J14" i="1" s="1"/>
  <c r="I14" i="1"/>
  <c r="J7" i="3"/>
  <c r="K7" i="3" s="1"/>
  <c r="K14" i="1" s="1"/>
  <c r="G24" i="1"/>
  <c r="F9" i="3"/>
  <c r="G9" i="3" s="1"/>
  <c r="E16" i="1" s="1"/>
  <c r="E9" i="3"/>
  <c r="D16" i="1" s="1"/>
  <c r="C16" i="1"/>
  <c r="J13" i="1"/>
  <c r="I16" i="1"/>
  <c r="J9" i="3"/>
  <c r="K9" i="3" s="1"/>
  <c r="K16" i="1" s="1"/>
  <c r="I9" i="3"/>
  <c r="J16" i="1" s="1"/>
  <c r="D8" i="1" l="1"/>
  <c r="J17" i="1"/>
  <c r="H7" i="1"/>
  <c r="D6" i="1"/>
  <c r="D17" i="1"/>
  <c r="K17" i="1"/>
  <c r="E8" i="1"/>
  <c r="F8" i="1" s="1"/>
  <c r="E17" i="1"/>
  <c r="D7" i="1"/>
  <c r="E6" i="1"/>
  <c r="F6" i="1" s="1"/>
  <c r="G17" i="1"/>
  <c r="G6" i="1" l="1"/>
  <c r="H6" i="1"/>
  <c r="G8" i="1"/>
  <c r="H8" i="1"/>
  <c r="G7" i="1"/>
</calcChain>
</file>

<file path=xl/sharedStrings.xml><?xml version="1.0" encoding="utf-8"?>
<sst xmlns="http://schemas.openxmlformats.org/spreadsheetml/2006/main" count="167" uniqueCount="126">
  <si>
    <t>Κόστος μετακίνησης Αθήνα ↔ Λιβαδειά με αυτοκίνητο</t>
  </si>
  <si>
    <t>Toyota Yaris 2026 Hybrid 130 · Fast Pass Νέα Οδός Frequent All 2 · Οκτώβριος 2026</t>
  </si>
  <si>
    <t>Σενάριο</t>
  </si>
  <si>
    <t>Διαδρομή</t>
  </si>
  <si>
    <t>Καύσιμο (€)</t>
  </si>
  <si>
    <t>Διόδια χωρίς έκπτωση (€)</t>
  </si>
  <si>
    <t>Διόδια με Frequent All 2 (€)</t>
  </si>
  <si>
    <t>Σύνολο / μήνα (€)</t>
  </si>
  <si>
    <t>Διαφορά από Α (€)</t>
  </si>
  <si>
    <t>Σύνολο / έτος (€)</t>
  </si>
  <si>
    <t>Α. Πλευρικά → Πλευρικά</t>
  </si>
  <si>
    <t>Πλευρικοί Οινοφύτων &amp; Θήβας και στις δύο κατευθύνσεις</t>
  </si>
  <si>
    <t>Γ. Πλευρικά → Πλευρ. Θήβας + Αφίδνες</t>
  </si>
  <si>
    <t>Προς Λιβαδειά: πλευρ. Οινοφύτων + Θήβας. Προς Αθήνα: πλευρ. Θήβας + μετωπ. Αφιδνών</t>
  </si>
  <si>
    <t>Β. Μετωπικά → Μετωπικά</t>
  </si>
  <si>
    <t>Μετωπικοί Αφιδνών &amp; Θήβας και στις δύο κατευθύνσεις</t>
  </si>
  <si>
    <t>Σταθμός</t>
  </si>
  <si>
    <t>Τιμή (€)</t>
  </si>
  <si>
    <t>Διελεύσεις</t>
  </si>
  <si>
    <t>Χωρίς έκπτωση (€)</t>
  </si>
  <si>
    <t>Με έκπτωση (€)</t>
  </si>
  <si>
    <t>Σύνολο διοδίων</t>
  </si>
  <si>
    <t>3. Ανάλυση ανά ημερολογιακό μήνα (η έκπτωση μηδενίζεται κάθε μήνα)</t>
  </si>
  <si>
    <t>Μήνας</t>
  </si>
  <si>
    <t>Πήγαινε–έλα / μήνα</t>
  </si>
  <si>
    <t>Α. Πλευρικά → Πλευρικά (€)</t>
  </si>
  <si>
    <t>Γ. Πλευρικά → Πλευρ. Θήβας + Αφίδνες (€)</t>
  </si>
  <si>
    <t>Β. Μετωπικά → Μετωπικά (€)</t>
  </si>
  <si>
    <t>Γ − Α (€)</t>
  </si>
  <si>
    <t>Β − Α (€)</t>
  </si>
  <si>
    <t>Β − Γ (€)</t>
  </si>
  <si>
    <t>Μήνας με 12 διαδρομές</t>
  </si>
  <si>
    <t>Μήνας με 13 διαδρομές</t>
  </si>
  <si>
    <t>Μήνας με 14 διαδρομές</t>
  </si>
  <si>
    <t>Μήνας με 15 διαδρομές</t>
  </si>
  <si>
    <t>Ο αριθμός πήγαινε–έλα ανά μήνα (μπλε, κίτρινο φόντο) μπορεί να αλλάξει.</t>
  </si>
  <si>
    <t>Υποσημειώσεις – Παραδοχές</t>
  </si>
  <si>
    <t>¹ Αυτοκίνητο</t>
  </si>
  <si>
    <t>² Ισχύς</t>
  </si>
  <si>
    <t>Έκδοση Hybrid 130</t>
  </si>
  <si>
    <t>³ Τιμή βενζίνης 95</t>
  </si>
  <si>
    <t>Μέση τιμή περιόδου</t>
  </si>
  <si>
    <t>⁴ Μέση κατανάλωση</t>
  </si>
  <si>
    <t>Πραγματική κατανάλωση στη διαδρομή (όχι WLTP)</t>
  </si>
  <si>
    <t>⁵ Απόσταση</t>
  </si>
  <si>
    <t>Ανά κατεύθυνση, ίδια σε όλα τα σενάρια</t>
  </si>
  <si>
    <t>⁶ Συχνότητα</t>
  </si>
  <si>
    <t>Μέσος μήνας = 3 × 52 / 12 = 13 πήγαινε–έλα</t>
  </si>
  <si>
    <t>⁷ Διόδια (κατηγορία 2 – ΙΧ)</t>
  </si>
  <si>
    <t>Οινόφυτα 0,80 € · Θήβα πλευρ. 1,80 €</t>
  </si>
  <si>
    <t>Αφίδνες 3,90 € · Θήβα μετωπ. 4,55 € (επιβεβαιωμένες τιμές)</t>
  </si>
  <si>
    <t>⁸ Πρόγραμμα e-pass</t>
  </si>
  <si>
    <t>Fast Pass Νέα Οδός Frequent All 2</t>
  </si>
  <si>
    <t>Έκπτωση ανά σταθμό, ανά ημερολογιακό μήνα: 1–5: 0%, 6–10: 5%, 11–20: 10%, 21–30: 15%, 31–40: 20%, 41–50: 40%, 51–60: 50%</t>
  </si>
  <si>
    <t>⁹ Εφαρμογή έκπτωσης</t>
  </si>
  <si>
    <t>Κλιμακωτή</t>
  </si>
  <si>
    <t>Κάθε ποσοστό μόνο για τις διελεύσεις της κλίμακάς του. Πλευρικός και μετωπικός Θήβας μετρούν ως ξεχωριστοί σταθμοί. Μετρούν και οι δύο κατευθύνσεις.</t>
  </si>
  <si>
    <t>¹⁰ Στρογγυλοποίηση</t>
  </si>
  <si>
    <t>± λίγα λεπτά</t>
  </si>
  <si>
    <t>Η χρέωση ανά διέλευση μπορεί να στρογγυλοποιείται διαφορετικά από τη Νέα Οδό.</t>
  </si>
  <si>
    <t>¹¹ Δεν περιλαμβάνονται</t>
  </si>
  <si>
    <t>Φθορά, service, ελαστικά, απόσβεση, χρόνος</t>
  </si>
  <si>
    <t>Το κόστος αφορά μόνο καύσιμα και διόδια.</t>
  </si>
  <si>
    <t>Παραδοχές υπολογισμού</t>
  </si>
  <si>
    <t>Μπλε κείμενο σε κίτρινο φόντο = στοιχεία εισόδου (μπορούν να αλλάξουν). Μαύρο = τύποι.</t>
  </si>
  <si>
    <t>Γενικά στοιχεία</t>
  </si>
  <si>
    <t>Στοιχείο</t>
  </si>
  <si>
    <t>Τιμή</t>
  </si>
  <si>
    <t>Μονάδα</t>
  </si>
  <si>
    <t>Πηγή / σχόλιο</t>
  </si>
  <si>
    <t>Αυτοκίνητο</t>
  </si>
  <si>
    <t>Toyota Yaris 2026 Hybrid 130</t>
  </si>
  <si>
    <t>Δήλωση χρήστη</t>
  </si>
  <si>
    <t>Ισχύς (ίπποι συστήματος)</t>
  </si>
  <si>
    <t>PS</t>
  </si>
  <si>
    <t>Τιμή βενζίνης 95 οκτανίων</t>
  </si>
  <si>
    <t>€/L</t>
  </si>
  <si>
    <t>Μέση τιμή περιόδου, δήλωση χρήστη</t>
  </si>
  <si>
    <t>Μέση κατανάλωση στη διαδρομή</t>
  </si>
  <si>
    <t>L/100 km</t>
  </si>
  <si>
    <t>Πραγματική κατανάλωση (όχι WLTP), δήλωση χρήστη</t>
  </si>
  <si>
    <t>Απόσταση ανά κατεύθυνση</t>
  </si>
  <si>
    <t>km</t>
  </si>
  <si>
    <t>Ίδια σε όλα τα σενάρια</t>
  </si>
  <si>
    <t>Πήγαινε–έλα ανά εβδομάδα</t>
  </si>
  <si>
    <t>διαδρομές</t>
  </si>
  <si>
    <t>Εβδομάδες ανά έτος</t>
  </si>
  <si>
    <t>εβδομάδες</t>
  </si>
  <si>
    <t>Πήγαινε–έλα ανά μέσο μήνα</t>
  </si>
  <si>
    <t>Πήγαινε–έλα/εβδομάδα × εβδομάδες / 12</t>
  </si>
  <si>
    <t>Χιλιόμετρα ανά πήγαινε–έλα</t>
  </si>
  <si>
    <t>2 × απόσταση ανά κατεύθυνση</t>
  </si>
  <si>
    <t>Κόστος καυσίμου ανά πήγαινε–έλα</t>
  </si>
  <si>
    <t>€</t>
  </si>
  <si>
    <t>km × κατανάλωση / 100 × τιμή βενζίνης</t>
  </si>
  <si>
    <t>Τιμές διοδίων Νέας Οδού (κατηγορία 2 – ΙΧ)</t>
  </si>
  <si>
    <t>Τύπος</t>
  </si>
  <si>
    <t>Πλευρικός Οινοφύτων</t>
  </si>
  <si>
    <t>Πλευρικός</t>
  </si>
  <si>
    <t>Τιμή επιβεβαιωμένη από τον χρήστη</t>
  </si>
  <si>
    <t>Πλευρικός Θήβας</t>
  </si>
  <si>
    <t>Μετωπικός Αφιδνών</t>
  </si>
  <si>
    <t>Μετωπικός</t>
  </si>
  <si>
    <t>Μετωπικός Θήβας</t>
  </si>
  <si>
    <t>Διελεύσεις ανά σταθμό σε ένα πήγαινε–έλα</t>
  </si>
  <si>
    <t>Σενάριο Α</t>
  </si>
  <si>
    <t>Σενάριο Β</t>
  </si>
  <si>
    <t>Σενάριο Γ</t>
  </si>
  <si>
    <t>Διόδια ανά πήγαινε–έλα χωρίς έκπτωση (€)</t>
  </si>
  <si>
    <t>Περιγραφή σεναρίων</t>
  </si>
  <si>
    <t>Αθήνα → Παλαιά Εθνική → πλευρικός Οινοφύτων → Α1 → πλευρικός Θήβας → Λιβαδειά, και αντίστροφα</t>
  </si>
  <si>
    <t>Α1 με μετωπικούς Αφιδνών και Θήβας και στις δύο κατευθύνσεις</t>
  </si>
  <si>
    <t>Προς Λιβαδειά: πλευρικός Οινοφύτων + πλευρικός Θήβας. Προς Αθήνα: πλευρικός Θήβας + Α1 μέχρι Αθήνα με μετωπικό Αφιδνών</t>
  </si>
  <si>
    <t>Fast Pass Νέα Οδός – πρόγραμμα Frequent All 2</t>
  </si>
  <si>
    <t>Από διέλευση</t>
  </si>
  <si>
    <t>Έως διέλευση</t>
  </si>
  <si>
    <t>Έκπτωση</t>
  </si>
  <si>
    <t>Κλιμακωτή έκπτωση ανά πομποδέκτη, ανά ημερολογιακό μήνα και για κάθε σταθμό ξεχωριστά. Κάθε ποσοστό ισχύει μόνο για τις διελεύσεις της δικής του κλίμακας. Πηγή: fastpass.gr – Fast Pass Νέα Οδός Frequent All 2</t>
  </si>
  <si>
    <t>Υπολογισμός διοδίων με κλιμακωτή έκπτωση Frequent All 2</t>
  </si>
  <si>
    <t>Χρεώσιμες διελεύσεις = διελεύσεις − Σ(έκπτωση κλίμακας × διελεύσεις μέσα στην κλίμακα). Κόστος με έκπτωση = τιμή × χρεώσιμες διελεύσεις.</t>
  </si>
  <si>
    <t>Σενάριο Α – Πλευρικά → Πλευρικά</t>
  </si>
  <si>
    <t>Σενάριο Β – Μετωπικά → Μετωπικά</t>
  </si>
  <si>
    <t>Σενάριο Γ – Πλευρικά → Πλευρ. Θήβας + Αφίδνες</t>
  </si>
  <si>
    <t>Διελεύσεις / μήνα</t>
  </si>
  <si>
    <t>Χρεώσιμες διελεύσεις</t>
  </si>
  <si>
    <t>Οι γραμμές 6–9 αφορούν τον μέσο μήνα (Παραδοχές). Οι γραμμές 10–25 αφορούν τους μήνες του πίνακα 3 της Σύνοψης.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</si>
</sst>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\ &quot;PS&quot;"/>
    <numFmt numFmtId="166" formatCode="0.00\ &quot;€/L&quot;"/>
    <numFmt numFmtId="167" formatCode="0.0\ &quot;L/100 km&quot;"/>
    <numFmt numFmtId="168" formatCode="0\ &quot;km&quot;"/>
    <numFmt numFmtId="169" formatCode="0\ &quot;πήγαινε–έλα/εβδ.&quot;"/>
  </numFmts>
  <fonts count="17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10"/>
      <color rgb="FF595959"/>
      <name val="Arial"/>
    </font>
    <font>
      <b/>
      <sz val="11"/>
      <color rgb="FF1F3864"/>
      <name val="Arial"/>
    </font>
    <font>
      <b/>
      <sz val="10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595959"/>
      <name val="Arial"/>
    </font>
    <font>
      <b/>
      <sz val="10"/>
      <color rgb="FF000000"/>
      <name val="Arial"/>
    </font>
    <font>
      <b/>
      <sz val="10"/>
      <color rgb="FF1F3864"/>
      <name val="Arial"/>
    </font>
    <font>
      <sz val="10"/>
      <color rgb="FF008000"/>
      <name val="Arial"/>
    </font>
    <font>
      <b/>
      <sz val="15"/>
      <color rgb="FF1F3864"/>
      <name val="Arial"/>
    </font>
    <font>
      <b/>
      <sz val="9"/>
      <color rgb="FF000000"/>
      <name val="Arial"/>
    </font>
    <font>
      <sz val="9"/>
      <color rgb="FF008000"/>
      <name val="Arial"/>
    </font>
    <font>
      <sz val="9"/>
      <color rgb="FF595959"/>
      <name val="Arial"/>
    </font>
    <font>
      <sz val="9"/>
      <color rgb="FF000000"/>
      <name val="Arial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F2F2F2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38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1" fillId="0" borderId="0" xfId="0" applyFont="1"/>
    <xf numFmtId="0" fontId="16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8" fillId="0" borderId="1" xfId="0" applyFont="1" applyBorder="1"/>
    <xf numFmtId="0" fontId="5" fillId="0" borderId="1" xfId="0" applyFont="1" applyBorder="1" applyAlignment="1">
      <alignment vertical="center" wrapText="1"/>
    </xf>
    <xf numFmtId="4" fontId="10" fillId="0" borderId="1" xfId="0" applyNumberFormat="1" applyFont="1" applyBorder="1"/>
    <xf numFmtId="4" fontId="8" fillId="0" borderId="1" xfId="0" applyNumberFormat="1" applyFont="1" applyBorder="1"/>
    <xf numFmtId="4" fontId="5" fillId="0" borderId="1" xfId="0" applyNumberFormat="1" applyFont="1" applyBorder="1"/>
    <xf numFmtId="0" fontId="10" fillId="0" borderId="1" xfId="0" applyFont="1" applyBorder="1"/>
    <xf numFmtId="1" fontId="10" fillId="0" borderId="1" xfId="0" applyNumberFormat="1" applyFont="1" applyBorder="1" applyAlignment="1">
      <alignment horizontal="center"/>
    </xf>
    <xf numFmtId="0" fontId="8" fillId="4" borderId="1" xfId="0" applyFont="1" applyFill="1" applyBorder="1"/>
    <xf numFmtId="0" fontId="5" fillId="4" borderId="1" xfId="0" applyFont="1" applyFill="1" applyBorder="1"/>
    <xf numFmtId="4" fontId="8" fillId="4" borderId="1" xfId="0" applyNumberFormat="1" applyFont="1" applyFill="1" applyBorder="1"/>
    <xf numFmtId="0" fontId="5" fillId="0" borderId="1" xfId="0" applyFont="1" applyBorder="1"/>
    <xf numFmtId="1" fontId="6" fillId="3" borderId="1" xfId="0" applyNumberFormat="1" applyFont="1" applyFill="1" applyBorder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left"/>
    </xf>
    <xf numFmtId="165" fontId="13" fillId="0" borderId="0" xfId="0" applyNumberFormat="1" applyFont="1" applyAlignment="1">
      <alignment horizontal="left"/>
    </xf>
    <xf numFmtId="166" fontId="13" fillId="0" borderId="0" xfId="0" applyNumberFormat="1" applyFont="1" applyAlignment="1">
      <alignment horizontal="left"/>
    </xf>
    <xf numFmtId="167" fontId="13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/>
    </xf>
    <xf numFmtId="169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" fillId="0" borderId="0" xfId="0" applyFont="1"/>
    <xf numFmtId="0" fontId="6" fillId="3" borderId="1" xfId="0" applyFont="1" applyFill="1" applyBorder="1" applyAlignment="1">
      <alignment horizontal="right"/>
    </xf>
    <xf numFmtId="0" fontId="7" fillId="0" borderId="1" xfId="0" applyFont="1" applyBorder="1"/>
    <xf numFmtId="1" fontId="6" fillId="3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164" fontId="6" fillId="3" borderId="1" xfId="0" applyNumberFormat="1" applyFont="1" applyFill="1" applyBorder="1" applyAlignment="1">
      <alignment horizontal="right"/>
    </xf>
    <xf numFmtId="1" fontId="5" fillId="0" borderId="1" xfId="0" applyNumberFormat="1" applyFont="1" applyBorder="1"/>
    <xf numFmtId="4" fontId="6" fillId="3" borderId="1" xfId="0" applyNumberFormat="1" applyFont="1" applyFill="1" applyBorder="1"/>
    <xf numFmtId="4" fontId="8" fillId="4" borderId="1" xfId="0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9" fontId="6" fillId="0" borderId="1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1" fontId="10" fillId="0" borderId="4" xfId="0" applyNumberFormat="1" applyFont="1" applyBorder="1" applyAlignment="1">
      <alignment horizontal="center"/>
    </xf>
    <xf numFmtId="0" fontId="10" fillId="0" borderId="4" xfId="0" applyFont="1" applyBorder="1"/>
    <xf numFmtId="4" fontId="10" fillId="0" borderId="4" xfId="0" applyNumberFormat="1" applyFont="1" applyBorder="1"/>
    <xf numFmtId="1" fontId="5" fillId="0" borderId="4" xfId="0" applyNumberFormat="1" applyFont="1" applyBorder="1" applyAlignment="1">
      <alignment horizontal="center"/>
    </xf>
    <xf numFmtId="4" fontId="5" fillId="0" borderId="4" xfId="0" applyNumberFormat="1" applyFont="1" applyBorder="1"/>
    <xf numFmtId="2" fontId="5" fillId="0" borderId="4" xfId="0" applyNumberFormat="1" applyFont="1" applyBorder="1" applyAlignment="1">
      <alignment horizontal="center"/>
    </xf>
    <xf numFmtId="0" fontId="14" fillId="0" borderId="0" xfId="0" applyFont="1" applyAlignment="1">
      <alignment vertical="top" wrapText="1"/>
    </xf>
    <xf numFmtId="0" fontId="16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/>
    <xf numFmtId="0" fontId="5" fillId="0" borderId="1" xfId="0" applyFont="1" applyBorder="1" applyAlignment="1">
      <alignment vertical="center" wrapText="1"/>
    </xf>
    <xf numFmtId="0" fontId="16" fillId="0" borderId="1" xfId="0" applyFont="1" applyBorder="1"/>
    <xf numFmtId="0" fontId="2" fillId="0" borderId="0" xfId="0" applyFont="1" applyAlignment="1">
      <alignment vertical="top" wrapText="1"/>
    </xf>
    <xf numFmtId="0" fontId="16" fillId="0" borderId="2" xfId="0" applyFont="1" applyBorder="1"/>
    <xf numFmtId="0" fontId="16" fillId="0" borderId="3" xfId="0" applyFont="1" applyBorder="1"/>
    <xf numFmtId="0" fontId="9" fillId="5" borderId="1" xfId="0" applyFont="1" applyFill="1" applyBorder="1" applyAlignment="1">
      <alignment horizontal="center"/>
    </xf>
    <xf numFmtId="0" fontId="16" fillId="5" borderId="1" xfId="0" applyFont="1" applyFill="1" applyBorder="1"/>
  </cellXfs>
  <cellStyles count="1">
    <cellStyle name="Κανονικό" xfId="0" builtinId="0"/>
  </cellStyles>
  <dxfs count="1">
    <dxf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38"/>
  <sheetViews>
    <sheetView showGridLines="0" tabSelected="1" workbookViewId="0"/>
  </sheetViews>
  <sheetFormatPr defaultRowHeight="14.4" x14ac:dyDescent="0.3"/>
  <cols>
    <col min="1" max="1" width="30" customWidth="1"/>
    <col min="2" max="2" width="34" customWidth="1"/>
    <col min="3" max="3" width="13" customWidth="1"/>
    <col min="4" max="6" width="16" customWidth="1"/>
    <col min="7" max="11" width="13" customWidth="1"/>
  </cols>
  <sheetData>
    <row r="1" spans="1:11" ht="19.2" x14ac:dyDescent="0.3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3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3">
      <c r="A4" s="4" t="str">
        <f>"1. Τελική σύγκριση – μέσος μήνας ("&amp;Παραδοχές!C12&amp;" πήγαινε–έλα)"</f>
        <v>1. Τελική σύγκριση – μέσος μήνας (13 πήγαινε–έλα)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ht="31.95" customHeight="1" x14ac:dyDescent="0.3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2"/>
      <c r="J5" s="2"/>
      <c r="K5" s="2"/>
    </row>
    <row r="6" spans="1:11" ht="28.05" customHeight="1" x14ac:dyDescent="0.3">
      <c r="A6" s="6" t="s">
        <v>10</v>
      </c>
      <c r="B6" s="7" t="s">
        <v>11</v>
      </c>
      <c r="C6" s="8">
        <f>Παραδοχές!$C$14*Παραδοχές!$C$12</f>
        <v>396.2946</v>
      </c>
      <c r="D6" s="8">
        <f>SUM('Υπολογισμός διοδίων'!E6:E9)</f>
        <v>67.600000000000009</v>
      </c>
      <c r="E6" s="8">
        <f>SUM('Υπολογισμός διοδίων'!G6:G9)</f>
        <v>62.010000000000005</v>
      </c>
      <c r="F6" s="9">
        <f>C6+E6</f>
        <v>458.30459999999999</v>
      </c>
      <c r="G6" s="10">
        <f>F6-$F$6</f>
        <v>0</v>
      </c>
      <c r="H6" s="10">
        <f>F6*12</f>
        <v>5499.6552000000001</v>
      </c>
      <c r="I6" s="2"/>
      <c r="J6" s="2"/>
      <c r="K6" s="2"/>
    </row>
    <row r="7" spans="1:11" ht="28.05" customHeight="1" x14ac:dyDescent="0.3">
      <c r="A7" s="6" t="s">
        <v>12</v>
      </c>
      <c r="B7" s="7" t="s">
        <v>13</v>
      </c>
      <c r="C7" s="8">
        <f>Παραδοχές!$C$14*Παραδοχές!$C$12</f>
        <v>396.2946</v>
      </c>
      <c r="D7" s="8">
        <f>SUM('Υπολογισμός διοδίων'!M6:M9)</f>
        <v>107.9</v>
      </c>
      <c r="E7" s="8">
        <f>SUM('Υπολογισμός διοδίων'!O6:O9)</f>
        <v>101.44499999999999</v>
      </c>
      <c r="F7" s="9">
        <f>C7+E7</f>
        <v>497.7396</v>
      </c>
      <c r="G7" s="10">
        <f>F7-$F$6</f>
        <v>39.435000000000002</v>
      </c>
      <c r="H7" s="10">
        <f>F7*12</f>
        <v>5972.8752000000004</v>
      </c>
      <c r="I7" s="2"/>
      <c r="J7" s="2"/>
      <c r="K7" s="2"/>
    </row>
    <row r="8" spans="1:11" ht="28.05" customHeight="1" x14ac:dyDescent="0.3">
      <c r="A8" s="6" t="s">
        <v>14</v>
      </c>
      <c r="B8" s="7" t="s">
        <v>15</v>
      </c>
      <c r="C8" s="8">
        <f>Παραδοχές!$C$14*Παραδοχές!$C$12</f>
        <v>396.2946</v>
      </c>
      <c r="D8" s="8">
        <f>SUM('Υπολογισμός διοδίων'!I6:I9)</f>
        <v>219.7</v>
      </c>
      <c r="E8" s="8">
        <f>SUM('Υπολογισμός διοδίων'!K6:K9)</f>
        <v>201.5325</v>
      </c>
      <c r="F8" s="9">
        <f>C8+E8</f>
        <v>597.82709999999997</v>
      </c>
      <c r="G8" s="10">
        <f>F8-$F$6</f>
        <v>139.52249999999998</v>
      </c>
      <c r="H8" s="10">
        <f>F8*12</f>
        <v>7173.9251999999997</v>
      </c>
      <c r="I8" s="2"/>
      <c r="J8" s="2"/>
      <c r="K8" s="2"/>
    </row>
    <row r="9" spans="1:11" x14ac:dyDescent="0.3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3">
      <c r="A10" s="4" t="str">
        <f>"2. Διόδια ανά σταθμό – μέσος μήνας ("&amp;Παραδοχές!C12&amp;" πήγαινε–έλα)"</f>
        <v>2. Διόδια ανά σταθμό – μέσος μήνας (13 πήγαινε–έλα)</v>
      </c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3">
      <c r="A11" s="47" t="s">
        <v>16</v>
      </c>
      <c r="B11" s="47" t="s">
        <v>17</v>
      </c>
      <c r="C11" s="47" t="s">
        <v>10</v>
      </c>
      <c r="D11" s="48"/>
      <c r="E11" s="48"/>
      <c r="F11" s="47" t="s">
        <v>12</v>
      </c>
      <c r="G11" s="48"/>
      <c r="H11" s="48"/>
      <c r="I11" s="47" t="s">
        <v>14</v>
      </c>
      <c r="J11" s="48"/>
      <c r="K11" s="48"/>
    </row>
    <row r="12" spans="1:11" ht="30" customHeight="1" x14ac:dyDescent="0.3">
      <c r="A12" s="48"/>
      <c r="B12" s="48"/>
      <c r="C12" s="5" t="s">
        <v>18</v>
      </c>
      <c r="D12" s="5" t="s">
        <v>19</v>
      </c>
      <c r="E12" s="5" t="s">
        <v>20</v>
      </c>
      <c r="F12" s="5" t="s">
        <v>18</v>
      </c>
      <c r="G12" s="5" t="s">
        <v>19</v>
      </c>
      <c r="H12" s="5" t="s">
        <v>20</v>
      </c>
      <c r="I12" s="5" t="s">
        <v>18</v>
      </c>
      <c r="J12" s="5" t="s">
        <v>19</v>
      </c>
      <c r="K12" s="5" t="s">
        <v>20</v>
      </c>
    </row>
    <row r="13" spans="1:11" x14ac:dyDescent="0.3">
      <c r="A13" s="11" t="str">
        <f>Παραδοχές!B18</f>
        <v>Πλευρικός Οινοφύτων</v>
      </c>
      <c r="B13" s="8">
        <f>Παραδοχές!C18</f>
        <v>0.8</v>
      </c>
      <c r="C13" s="12">
        <f>'Υπολογισμός διοδίων'!D6</f>
        <v>26</v>
      </c>
      <c r="D13" s="8">
        <f>'Υπολογισμός διοδίων'!E6</f>
        <v>20.8</v>
      </c>
      <c r="E13" s="8">
        <f>'Υπολογισμός διοδίων'!G6</f>
        <v>19.080000000000002</v>
      </c>
      <c r="F13" s="12">
        <f>'Υπολογισμός διοδίων'!L6</f>
        <v>13</v>
      </c>
      <c r="G13" s="8">
        <f>'Υπολογισμός διοδίων'!M6</f>
        <v>10.4</v>
      </c>
      <c r="H13" s="8">
        <f>'Υπολογισμός διοδίων'!O6</f>
        <v>9.9600000000000009</v>
      </c>
      <c r="I13" s="12">
        <f>'Υπολογισμός διοδίων'!H6</f>
        <v>0</v>
      </c>
      <c r="J13" s="8">
        <f>'Υπολογισμός διοδίων'!I6</f>
        <v>0</v>
      </c>
      <c r="K13" s="8">
        <f>'Υπολογισμός διοδίων'!K6</f>
        <v>0</v>
      </c>
    </row>
    <row r="14" spans="1:11" x14ac:dyDescent="0.3">
      <c r="A14" s="11" t="str">
        <f>Παραδοχές!B19</f>
        <v>Πλευρικός Θήβας</v>
      </c>
      <c r="B14" s="8">
        <f>Παραδοχές!C19</f>
        <v>1.8</v>
      </c>
      <c r="C14" s="12">
        <f>'Υπολογισμός διοδίων'!D7</f>
        <v>26</v>
      </c>
      <c r="D14" s="8">
        <f>'Υπολογισμός διοδίων'!E7</f>
        <v>46.800000000000004</v>
      </c>
      <c r="E14" s="8">
        <f>'Υπολογισμός διοδίων'!G7</f>
        <v>42.930000000000007</v>
      </c>
      <c r="F14" s="12">
        <f>'Υπολογισμός διοδίων'!L7</f>
        <v>26</v>
      </c>
      <c r="G14" s="8">
        <f>'Υπολογισμός διοδίων'!M7</f>
        <v>46.800000000000004</v>
      </c>
      <c r="H14" s="8">
        <f>'Υπολογισμός διοδίων'!O7</f>
        <v>42.930000000000007</v>
      </c>
      <c r="I14" s="12">
        <f>'Υπολογισμός διοδίων'!H7</f>
        <v>0</v>
      </c>
      <c r="J14" s="8">
        <f>'Υπολογισμός διοδίων'!I7</f>
        <v>0</v>
      </c>
      <c r="K14" s="8">
        <f>'Υπολογισμός διοδίων'!K7</f>
        <v>0</v>
      </c>
    </row>
    <row r="15" spans="1:11" x14ac:dyDescent="0.3">
      <c r="A15" s="11" t="str">
        <f>Παραδοχές!B20</f>
        <v>Μετωπικός Αφιδνών</v>
      </c>
      <c r="B15" s="8">
        <f>Παραδοχές!C20</f>
        <v>3.9</v>
      </c>
      <c r="C15" s="12">
        <f>'Υπολογισμός διοδίων'!D8</f>
        <v>0</v>
      </c>
      <c r="D15" s="8">
        <f>'Υπολογισμός διοδίων'!E8</f>
        <v>0</v>
      </c>
      <c r="E15" s="8">
        <f>'Υπολογισμός διοδίων'!G8</f>
        <v>0</v>
      </c>
      <c r="F15" s="12">
        <f>'Υπολογισμός διοδίων'!L8</f>
        <v>13</v>
      </c>
      <c r="G15" s="8">
        <f>'Υπολογισμός διοδίων'!M8</f>
        <v>50.699999999999996</v>
      </c>
      <c r="H15" s="8">
        <f>'Υπολογισμός διοδίων'!O8</f>
        <v>48.554999999999993</v>
      </c>
      <c r="I15" s="12">
        <f>'Υπολογισμός διοδίων'!H8</f>
        <v>26</v>
      </c>
      <c r="J15" s="8">
        <f>'Υπολογισμός διοδίων'!I8</f>
        <v>101.39999999999999</v>
      </c>
      <c r="K15" s="8">
        <f>'Υπολογισμός διοδίων'!K8</f>
        <v>93.015000000000001</v>
      </c>
    </row>
    <row r="16" spans="1:11" x14ac:dyDescent="0.3">
      <c r="A16" s="11" t="str">
        <f>Παραδοχές!B21</f>
        <v>Μετωπικός Θήβας</v>
      </c>
      <c r="B16" s="8">
        <f>Παραδοχές!C21</f>
        <v>4.55</v>
      </c>
      <c r="C16" s="12">
        <f>'Υπολογισμός διοδίων'!D9</f>
        <v>0</v>
      </c>
      <c r="D16" s="8">
        <f>'Υπολογισμός διοδίων'!E9</f>
        <v>0</v>
      </c>
      <c r="E16" s="8">
        <f>'Υπολογισμός διοδίων'!G9</f>
        <v>0</v>
      </c>
      <c r="F16" s="12">
        <f>'Υπολογισμός διοδίων'!L9</f>
        <v>0</v>
      </c>
      <c r="G16" s="8">
        <f>'Υπολογισμός διοδίων'!M9</f>
        <v>0</v>
      </c>
      <c r="H16" s="8">
        <f>'Υπολογισμός διοδίων'!O9</f>
        <v>0</v>
      </c>
      <c r="I16" s="12">
        <f>'Υπολογισμός διοδίων'!H9</f>
        <v>26</v>
      </c>
      <c r="J16" s="8">
        <f>'Υπολογισμός διοδίων'!I9</f>
        <v>118.3</v>
      </c>
      <c r="K16" s="8">
        <f>'Υπολογισμός διοδίων'!K9</f>
        <v>108.5175</v>
      </c>
    </row>
    <row r="17" spans="1:11" x14ac:dyDescent="0.3">
      <c r="A17" s="13" t="s">
        <v>21</v>
      </c>
      <c r="B17" s="14"/>
      <c r="C17" s="14"/>
      <c r="D17" s="15">
        <f>SUM(D13:D16)</f>
        <v>67.600000000000009</v>
      </c>
      <c r="E17" s="15">
        <f>SUM(E13:E16)</f>
        <v>62.010000000000005</v>
      </c>
      <c r="F17" s="14"/>
      <c r="G17" s="15">
        <f>SUM(G13:G16)</f>
        <v>107.9</v>
      </c>
      <c r="H17" s="15">
        <f>SUM(H13:H16)</f>
        <v>101.44499999999999</v>
      </c>
      <c r="I17" s="14"/>
      <c r="J17" s="15">
        <f>SUM(J13:J16)</f>
        <v>219.7</v>
      </c>
      <c r="K17" s="15">
        <f>SUM(K13:K16)</f>
        <v>201.5325</v>
      </c>
    </row>
    <row r="18" spans="1:1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3">
      <c r="A19" s="4" t="s">
        <v>22</v>
      </c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ht="43.95" customHeight="1" x14ac:dyDescent="0.3">
      <c r="A20" s="5" t="s">
        <v>23</v>
      </c>
      <c r="B20" s="5" t="s">
        <v>24</v>
      </c>
      <c r="C20" s="5" t="s">
        <v>4</v>
      </c>
      <c r="D20" s="5" t="s">
        <v>25</v>
      </c>
      <c r="E20" s="5" t="s">
        <v>26</v>
      </c>
      <c r="F20" s="5" t="s">
        <v>27</v>
      </c>
      <c r="G20" s="5" t="s">
        <v>28</v>
      </c>
      <c r="H20" s="5" t="s">
        <v>29</v>
      </c>
      <c r="I20" s="5" t="s">
        <v>30</v>
      </c>
      <c r="J20" s="2"/>
      <c r="K20" s="2"/>
    </row>
    <row r="21" spans="1:11" x14ac:dyDescent="0.3">
      <c r="A21" s="16" t="s">
        <v>31</v>
      </c>
      <c r="B21" s="17">
        <v>12</v>
      </c>
      <c r="C21" s="10">
        <f>B21*Παραδοχές!$C$14</f>
        <v>365.81040000000002</v>
      </c>
      <c r="D21" s="9">
        <f>C21+SUM('Υπολογισμός διοδίων'!G10:G13)</f>
        <v>423.40039999999999</v>
      </c>
      <c r="E21" s="9">
        <f>C21+SUM('Υπολογισμός διοδίων'!O10:O13)</f>
        <v>459.96540000000005</v>
      </c>
      <c r="F21" s="9">
        <f>C21+SUM('Υπολογισμός διοδίων'!K10:K13)</f>
        <v>552.97789999999998</v>
      </c>
      <c r="G21" s="10">
        <f>E21-D21</f>
        <v>36.565000000000055</v>
      </c>
      <c r="H21" s="10">
        <f>F21-D21</f>
        <v>129.57749999999999</v>
      </c>
      <c r="I21" s="10">
        <f>F21-E21</f>
        <v>93.012499999999932</v>
      </c>
      <c r="J21" s="2"/>
      <c r="K21" s="2"/>
    </row>
    <row r="22" spans="1:11" x14ac:dyDescent="0.3">
      <c r="A22" s="16" t="s">
        <v>32</v>
      </c>
      <c r="B22" s="17">
        <v>13</v>
      </c>
      <c r="C22" s="10">
        <f>B22*Παραδοχές!$C$14</f>
        <v>396.2946</v>
      </c>
      <c r="D22" s="9">
        <f>C22+SUM('Υπολογισμός διοδίων'!G14:G17)</f>
        <v>458.30459999999999</v>
      </c>
      <c r="E22" s="9">
        <f>C22+SUM('Υπολογισμός διοδίων'!O14:O17)</f>
        <v>497.7396</v>
      </c>
      <c r="F22" s="9">
        <f>C22+SUM('Υπολογισμός διοδίων'!K14:K17)</f>
        <v>597.82709999999997</v>
      </c>
      <c r="G22" s="10">
        <f>E22-D22</f>
        <v>39.435000000000002</v>
      </c>
      <c r="H22" s="10">
        <f>F22-D22</f>
        <v>139.52249999999998</v>
      </c>
      <c r="I22" s="10">
        <f>F22-E22</f>
        <v>100.08749999999998</v>
      </c>
      <c r="J22" s="2"/>
      <c r="K22" s="2"/>
    </row>
    <row r="23" spans="1:11" x14ac:dyDescent="0.3">
      <c r="A23" s="16" t="s">
        <v>33</v>
      </c>
      <c r="B23" s="17">
        <v>14</v>
      </c>
      <c r="C23" s="10">
        <f>B23*Παραδοχές!$C$14</f>
        <v>426.77880000000005</v>
      </c>
      <c r="D23" s="9">
        <f>C23+SUM('Υπολογισμός διοδίων'!G18:G21)</f>
        <v>493.20880000000005</v>
      </c>
      <c r="E23" s="9">
        <f>C23+SUM('Υπολογισμός διοδίων'!O18:O21)</f>
        <v>535.51380000000006</v>
      </c>
      <c r="F23" s="9">
        <f>C23+SUM('Υπολογισμός διοδίων'!K18:K21)</f>
        <v>642.67630000000008</v>
      </c>
      <c r="G23" s="10">
        <f>E23-D23</f>
        <v>42.305000000000007</v>
      </c>
      <c r="H23" s="10">
        <f>F23-D23</f>
        <v>149.46750000000003</v>
      </c>
      <c r="I23" s="10">
        <f>F23-E23</f>
        <v>107.16250000000002</v>
      </c>
      <c r="J23" s="2"/>
      <c r="K23" s="2"/>
    </row>
    <row r="24" spans="1:11" x14ac:dyDescent="0.3">
      <c r="A24" s="16" t="s">
        <v>34</v>
      </c>
      <c r="B24" s="17">
        <v>15</v>
      </c>
      <c r="C24" s="10">
        <f>B24*Παραδοχές!$C$14</f>
        <v>457.26300000000003</v>
      </c>
      <c r="D24" s="9">
        <f>C24+SUM('Υπολογισμός διοδίων'!G22:G25)</f>
        <v>528.11300000000006</v>
      </c>
      <c r="E24" s="9">
        <f>C24+SUM('Υπολογισμός διοδίων'!O22:O25)</f>
        <v>573.28800000000001</v>
      </c>
      <c r="F24" s="9">
        <f>C24+SUM('Υπολογισμός διοδίων'!K22:K25)</f>
        <v>687.52549999999997</v>
      </c>
      <c r="G24" s="10">
        <f>E24-D24</f>
        <v>45.174999999999955</v>
      </c>
      <c r="H24" s="10">
        <f>F24-D24</f>
        <v>159.41249999999991</v>
      </c>
      <c r="I24" s="10">
        <f>F24-E24</f>
        <v>114.23749999999995</v>
      </c>
      <c r="J24" s="2"/>
      <c r="K24" s="2"/>
    </row>
    <row r="25" spans="1:11" x14ac:dyDescent="0.3">
      <c r="A25" s="3" t="s">
        <v>35</v>
      </c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3">
      <c r="A27" s="4" t="s">
        <v>36</v>
      </c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3">
      <c r="A28" s="18" t="s">
        <v>37</v>
      </c>
      <c r="B28" s="19" t="str">
        <f>Παραδοχές!C5</f>
        <v>Toyota Yaris 2026 Hybrid 130</v>
      </c>
      <c r="C28" s="45"/>
      <c r="D28" s="46"/>
      <c r="E28" s="46"/>
      <c r="F28" s="46"/>
      <c r="G28" s="46"/>
      <c r="H28" s="46"/>
      <c r="I28" s="46"/>
      <c r="J28" s="2"/>
      <c r="K28" s="2"/>
    </row>
    <row r="29" spans="1:11" x14ac:dyDescent="0.3">
      <c r="A29" s="18" t="s">
        <v>38</v>
      </c>
      <c r="B29" s="20">
        <f>Παραδοχές!C6</f>
        <v>130</v>
      </c>
      <c r="C29" s="45" t="s">
        <v>39</v>
      </c>
      <c r="D29" s="46"/>
      <c r="E29" s="46"/>
      <c r="F29" s="46"/>
      <c r="G29" s="46"/>
      <c r="H29" s="46"/>
      <c r="I29" s="46"/>
      <c r="J29" s="2"/>
      <c r="K29" s="2"/>
    </row>
    <row r="30" spans="1:11" x14ac:dyDescent="0.3">
      <c r="A30" s="18" t="s">
        <v>40</v>
      </c>
      <c r="B30" s="21">
        <f>Παραδοχές!C7</f>
        <v>2.2999999999999998</v>
      </c>
      <c r="C30" s="45" t="s">
        <v>41</v>
      </c>
      <c r="D30" s="46"/>
      <c r="E30" s="46"/>
      <c r="F30" s="46"/>
      <c r="G30" s="46"/>
      <c r="H30" s="46"/>
      <c r="I30" s="46"/>
      <c r="J30" s="2"/>
      <c r="K30" s="2"/>
    </row>
    <row r="31" spans="1:11" x14ac:dyDescent="0.3">
      <c r="A31" s="18" t="s">
        <v>42</v>
      </c>
      <c r="B31" s="22">
        <f>Παραδοχές!C8</f>
        <v>4.7</v>
      </c>
      <c r="C31" s="45" t="s">
        <v>43</v>
      </c>
      <c r="D31" s="46"/>
      <c r="E31" s="46"/>
      <c r="F31" s="46"/>
      <c r="G31" s="46"/>
      <c r="H31" s="46"/>
      <c r="I31" s="46"/>
      <c r="J31" s="2"/>
      <c r="K31" s="2"/>
    </row>
    <row r="32" spans="1:11" x14ac:dyDescent="0.3">
      <c r="A32" s="18" t="s">
        <v>44</v>
      </c>
      <c r="B32" s="23">
        <f>Παραδοχές!C9</f>
        <v>141</v>
      </c>
      <c r="C32" s="45" t="s">
        <v>45</v>
      </c>
      <c r="D32" s="46"/>
      <c r="E32" s="46"/>
      <c r="F32" s="46"/>
      <c r="G32" s="46"/>
      <c r="H32" s="46"/>
      <c r="I32" s="46"/>
      <c r="J32" s="2"/>
      <c r="K32" s="2"/>
    </row>
    <row r="33" spans="1:11" x14ac:dyDescent="0.3">
      <c r="A33" s="18" t="s">
        <v>46</v>
      </c>
      <c r="B33" s="24">
        <f>Παραδοχές!C10</f>
        <v>3</v>
      </c>
      <c r="C33" s="45" t="s">
        <v>47</v>
      </c>
      <c r="D33" s="46"/>
      <c r="E33" s="46"/>
      <c r="F33" s="46"/>
      <c r="G33" s="46"/>
      <c r="H33" s="46"/>
      <c r="I33" s="46"/>
      <c r="J33" s="2"/>
      <c r="K33" s="2"/>
    </row>
    <row r="34" spans="1:11" x14ac:dyDescent="0.3">
      <c r="A34" s="18" t="s">
        <v>48</v>
      </c>
      <c r="B34" s="25" t="s">
        <v>49</v>
      </c>
      <c r="C34" s="45" t="s">
        <v>50</v>
      </c>
      <c r="D34" s="46"/>
      <c r="E34" s="46"/>
      <c r="F34" s="46"/>
      <c r="G34" s="46"/>
      <c r="H34" s="46"/>
      <c r="I34" s="46"/>
      <c r="J34" s="2"/>
      <c r="K34" s="2"/>
    </row>
    <row r="35" spans="1:11" ht="24" customHeight="1" x14ac:dyDescent="0.3">
      <c r="A35" s="18" t="s">
        <v>51</v>
      </c>
      <c r="B35" s="25" t="s">
        <v>52</v>
      </c>
      <c r="C35" s="45" t="s">
        <v>53</v>
      </c>
      <c r="D35" s="46"/>
      <c r="E35" s="46"/>
      <c r="F35" s="46"/>
      <c r="G35" s="46"/>
      <c r="H35" s="46"/>
      <c r="I35" s="46"/>
      <c r="J35" s="2"/>
      <c r="K35" s="2"/>
    </row>
    <row r="36" spans="1:11" ht="24" customHeight="1" x14ac:dyDescent="0.3">
      <c r="A36" s="18" t="s">
        <v>54</v>
      </c>
      <c r="B36" s="25" t="s">
        <v>55</v>
      </c>
      <c r="C36" s="45" t="s">
        <v>56</v>
      </c>
      <c r="D36" s="46"/>
      <c r="E36" s="46"/>
      <c r="F36" s="46"/>
      <c r="G36" s="46"/>
      <c r="H36" s="46"/>
      <c r="I36" s="46"/>
      <c r="J36" s="2"/>
      <c r="K36" s="2"/>
    </row>
    <row r="37" spans="1:11" x14ac:dyDescent="0.3">
      <c r="A37" s="18" t="s">
        <v>57</v>
      </c>
      <c r="B37" s="25" t="s">
        <v>58</v>
      </c>
      <c r="C37" s="45" t="s">
        <v>59</v>
      </c>
      <c r="D37" s="46"/>
      <c r="E37" s="46"/>
      <c r="F37" s="46"/>
      <c r="G37" s="46"/>
      <c r="H37" s="46"/>
      <c r="I37" s="46"/>
      <c r="J37" s="2"/>
      <c r="K37" s="2"/>
    </row>
    <row r="38" spans="1:11" x14ac:dyDescent="0.3">
      <c r="A38" s="18" t="s">
        <v>60</v>
      </c>
      <c r="B38" s="25" t="s">
        <v>61</v>
      </c>
      <c r="C38" s="45" t="s">
        <v>62</v>
      </c>
      <c r="D38" s="46"/>
      <c r="E38" s="46"/>
      <c r="F38" s="46"/>
      <c r="G38" s="46"/>
      <c r="H38" s="46"/>
      <c r="I38" s="46"/>
      <c r="J38" s="2"/>
      <c r="K38" s="2"/>
    </row>
  </sheetData>
  <mergeCells count="16">
    <mergeCell ref="A11:A12"/>
    <mergeCell ref="C37:I37"/>
    <mergeCell ref="B11:B12"/>
    <mergeCell ref="C29:I29"/>
    <mergeCell ref="C30:I30"/>
    <mergeCell ref="C32:I32"/>
    <mergeCell ref="C38:I38"/>
    <mergeCell ref="C33:I33"/>
    <mergeCell ref="F11:H11"/>
    <mergeCell ref="C36:I36"/>
    <mergeCell ref="C28:I28"/>
    <mergeCell ref="I11:K11"/>
    <mergeCell ref="C31:I31"/>
    <mergeCell ref="C11:E11"/>
    <mergeCell ref="C35:I35"/>
    <mergeCell ref="C34:I34"/>
  </mergeCells>
  <conditionalFormatting sqref="A6:H8">
    <cfRule type="expression" dxfId="0" priority="1">
      <formula>$F6=MIN($F$6:$F$8)</formula>
    </cfRule>
  </conditionalFormatting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46"/>
  <sheetViews>
    <sheetView showGridLines="0" workbookViewId="0"/>
  </sheetViews>
  <sheetFormatPr defaultRowHeight="14.4" x14ac:dyDescent="0.3"/>
  <cols>
    <col min="1" max="1" width="2" customWidth="1"/>
    <col min="2" max="2" width="38" customWidth="1"/>
    <col min="3" max="3" width="30" customWidth="1"/>
    <col min="4" max="4" width="14" customWidth="1"/>
    <col min="5" max="5" width="52" customWidth="1"/>
  </cols>
  <sheetData>
    <row r="1" spans="1:5" ht="17.399999999999999" x14ac:dyDescent="0.3">
      <c r="A1" s="2"/>
      <c r="B1" s="26" t="s">
        <v>63</v>
      </c>
      <c r="C1" s="2"/>
      <c r="D1" s="2"/>
      <c r="E1" s="2"/>
    </row>
    <row r="2" spans="1:5" x14ac:dyDescent="0.3">
      <c r="A2" s="2"/>
      <c r="B2" s="3" t="s">
        <v>64</v>
      </c>
      <c r="C2" s="2"/>
      <c r="D2" s="2"/>
      <c r="E2" s="2"/>
    </row>
    <row r="3" spans="1:5" x14ac:dyDescent="0.3">
      <c r="A3" s="2"/>
      <c r="B3" s="4" t="s">
        <v>65</v>
      </c>
      <c r="C3" s="2"/>
      <c r="D3" s="2"/>
      <c r="E3" s="2"/>
    </row>
    <row r="4" spans="1:5" x14ac:dyDescent="0.3">
      <c r="A4" s="2"/>
      <c r="B4" s="5" t="s">
        <v>66</v>
      </c>
      <c r="C4" s="5" t="s">
        <v>67</v>
      </c>
      <c r="D4" s="5" t="s">
        <v>68</v>
      </c>
      <c r="E4" s="5" t="s">
        <v>69</v>
      </c>
    </row>
    <row r="5" spans="1:5" x14ac:dyDescent="0.3">
      <c r="A5" s="2"/>
      <c r="B5" s="16" t="s">
        <v>70</v>
      </c>
      <c r="C5" s="27" t="s">
        <v>71</v>
      </c>
      <c r="D5" s="16"/>
      <c r="E5" s="28" t="s">
        <v>72</v>
      </c>
    </row>
    <row r="6" spans="1:5" x14ac:dyDescent="0.3">
      <c r="A6" s="2"/>
      <c r="B6" s="16" t="s">
        <v>73</v>
      </c>
      <c r="C6" s="29">
        <v>130</v>
      </c>
      <c r="D6" s="16" t="s">
        <v>74</v>
      </c>
      <c r="E6" s="28" t="s">
        <v>39</v>
      </c>
    </row>
    <row r="7" spans="1:5" x14ac:dyDescent="0.3">
      <c r="A7" s="2"/>
      <c r="B7" s="16" t="s">
        <v>75</v>
      </c>
      <c r="C7" s="30">
        <v>2.2999999999999998</v>
      </c>
      <c r="D7" s="16" t="s">
        <v>76</v>
      </c>
      <c r="E7" s="28" t="s">
        <v>77</v>
      </c>
    </row>
    <row r="8" spans="1:5" x14ac:dyDescent="0.3">
      <c r="A8" s="2"/>
      <c r="B8" s="16" t="s">
        <v>78</v>
      </c>
      <c r="C8" s="31">
        <v>4.7</v>
      </c>
      <c r="D8" s="16" t="s">
        <v>79</v>
      </c>
      <c r="E8" s="28" t="s">
        <v>80</v>
      </c>
    </row>
    <row r="9" spans="1:5" x14ac:dyDescent="0.3">
      <c r="A9" s="2"/>
      <c r="B9" s="16" t="s">
        <v>81</v>
      </c>
      <c r="C9" s="29">
        <v>141</v>
      </c>
      <c r="D9" s="16" t="s">
        <v>82</v>
      </c>
      <c r="E9" s="28" t="s">
        <v>83</v>
      </c>
    </row>
    <row r="10" spans="1:5" x14ac:dyDescent="0.3">
      <c r="A10" s="2"/>
      <c r="B10" s="16" t="s">
        <v>84</v>
      </c>
      <c r="C10" s="29">
        <v>3</v>
      </c>
      <c r="D10" s="16" t="s">
        <v>85</v>
      </c>
      <c r="E10" s="28" t="s">
        <v>72</v>
      </c>
    </row>
    <row r="11" spans="1:5" x14ac:dyDescent="0.3">
      <c r="A11" s="2"/>
      <c r="B11" s="16" t="s">
        <v>86</v>
      </c>
      <c r="C11" s="29">
        <v>52</v>
      </c>
      <c r="D11" s="16" t="s">
        <v>87</v>
      </c>
      <c r="E11" s="28"/>
    </row>
    <row r="12" spans="1:5" x14ac:dyDescent="0.3">
      <c r="A12" s="2"/>
      <c r="B12" s="16" t="s">
        <v>88</v>
      </c>
      <c r="C12" s="32">
        <f>ROUND(C10*C11/12,0)</f>
        <v>13</v>
      </c>
      <c r="D12" s="16" t="s">
        <v>85</v>
      </c>
      <c r="E12" s="28" t="s">
        <v>89</v>
      </c>
    </row>
    <row r="13" spans="1:5" x14ac:dyDescent="0.3">
      <c r="A13" s="2"/>
      <c r="B13" s="16" t="s">
        <v>90</v>
      </c>
      <c r="C13" s="32">
        <f>2*C9</f>
        <v>282</v>
      </c>
      <c r="D13" s="16" t="s">
        <v>82</v>
      </c>
      <c r="E13" s="28" t="s">
        <v>91</v>
      </c>
    </row>
    <row r="14" spans="1:5" x14ac:dyDescent="0.3">
      <c r="A14" s="2"/>
      <c r="B14" s="16" t="s">
        <v>92</v>
      </c>
      <c r="C14" s="10">
        <f>C13*C8/100*C7</f>
        <v>30.484200000000001</v>
      </c>
      <c r="D14" s="16" t="s">
        <v>93</v>
      </c>
      <c r="E14" s="28" t="s">
        <v>94</v>
      </c>
    </row>
    <row r="15" spans="1:5" x14ac:dyDescent="0.3">
      <c r="A15" s="2"/>
      <c r="B15" s="2"/>
      <c r="C15" s="2"/>
      <c r="D15" s="2"/>
      <c r="E15" s="2"/>
    </row>
    <row r="16" spans="1:5" x14ac:dyDescent="0.3">
      <c r="A16" s="2"/>
      <c r="B16" s="4" t="s">
        <v>95</v>
      </c>
      <c r="C16" s="2"/>
      <c r="D16" s="2"/>
      <c r="E16" s="2"/>
    </row>
    <row r="17" spans="1:5" x14ac:dyDescent="0.3">
      <c r="A17" s="2"/>
      <c r="B17" s="5" t="s">
        <v>16</v>
      </c>
      <c r="C17" s="5" t="s">
        <v>17</v>
      </c>
      <c r="D17" s="5" t="s">
        <v>96</v>
      </c>
      <c r="E17" s="5" t="s">
        <v>69</v>
      </c>
    </row>
    <row r="18" spans="1:5" x14ac:dyDescent="0.3">
      <c r="A18" s="2"/>
      <c r="B18" s="16" t="s">
        <v>97</v>
      </c>
      <c r="C18" s="33">
        <v>0.8</v>
      </c>
      <c r="D18" s="16" t="s">
        <v>98</v>
      </c>
      <c r="E18" s="28" t="s">
        <v>99</v>
      </c>
    </row>
    <row r="19" spans="1:5" x14ac:dyDescent="0.3">
      <c r="A19" s="2"/>
      <c r="B19" s="16" t="s">
        <v>100</v>
      </c>
      <c r="C19" s="33">
        <v>1.8</v>
      </c>
      <c r="D19" s="16" t="s">
        <v>98</v>
      </c>
      <c r="E19" s="28" t="s">
        <v>99</v>
      </c>
    </row>
    <row r="20" spans="1:5" x14ac:dyDescent="0.3">
      <c r="A20" s="2"/>
      <c r="B20" s="16" t="s">
        <v>101</v>
      </c>
      <c r="C20" s="33">
        <v>3.9</v>
      </c>
      <c r="D20" s="16" t="s">
        <v>102</v>
      </c>
      <c r="E20" s="28" t="s">
        <v>99</v>
      </c>
    </row>
    <row r="21" spans="1:5" x14ac:dyDescent="0.3">
      <c r="A21" s="2"/>
      <c r="B21" s="16" t="s">
        <v>103</v>
      </c>
      <c r="C21" s="33">
        <v>4.55</v>
      </c>
      <c r="D21" s="16" t="s">
        <v>102</v>
      </c>
      <c r="E21" s="28" t="s">
        <v>99</v>
      </c>
    </row>
    <row r="22" spans="1:5" x14ac:dyDescent="0.3">
      <c r="A22" s="2"/>
      <c r="B22" s="2"/>
      <c r="C22" s="2"/>
      <c r="D22" s="2"/>
      <c r="E22" s="2"/>
    </row>
    <row r="23" spans="1:5" x14ac:dyDescent="0.3">
      <c r="A23" s="2"/>
      <c r="B23" s="4" t="s">
        <v>104</v>
      </c>
      <c r="C23" s="2"/>
      <c r="D23" s="2"/>
      <c r="E23" s="2"/>
    </row>
    <row r="24" spans="1:5" x14ac:dyDescent="0.3">
      <c r="A24" s="2"/>
      <c r="B24" s="5" t="s">
        <v>16</v>
      </c>
      <c r="C24" s="5" t="s">
        <v>105</v>
      </c>
      <c r="D24" s="5" t="s">
        <v>106</v>
      </c>
      <c r="E24" s="5" t="s">
        <v>107</v>
      </c>
    </row>
    <row r="25" spans="1:5" x14ac:dyDescent="0.3">
      <c r="A25" s="2"/>
      <c r="B25" s="16" t="str">
        <f>B18</f>
        <v>Πλευρικός Οινοφύτων</v>
      </c>
      <c r="C25" s="17">
        <v>2</v>
      </c>
      <c r="D25" s="17">
        <v>0</v>
      </c>
      <c r="E25" s="17">
        <v>1</v>
      </c>
    </row>
    <row r="26" spans="1:5" x14ac:dyDescent="0.3">
      <c r="A26" s="2"/>
      <c r="B26" s="16" t="str">
        <f>B19</f>
        <v>Πλευρικός Θήβας</v>
      </c>
      <c r="C26" s="17">
        <v>2</v>
      </c>
      <c r="D26" s="17">
        <v>0</v>
      </c>
      <c r="E26" s="17">
        <v>2</v>
      </c>
    </row>
    <row r="27" spans="1:5" x14ac:dyDescent="0.3">
      <c r="A27" s="2"/>
      <c r="B27" s="16" t="str">
        <f>B20</f>
        <v>Μετωπικός Αφιδνών</v>
      </c>
      <c r="C27" s="17">
        <v>0</v>
      </c>
      <c r="D27" s="17">
        <v>2</v>
      </c>
      <c r="E27" s="17">
        <v>1</v>
      </c>
    </row>
    <row r="28" spans="1:5" x14ac:dyDescent="0.3">
      <c r="A28" s="2"/>
      <c r="B28" s="16" t="str">
        <f>B21</f>
        <v>Μετωπικός Θήβας</v>
      </c>
      <c r="C28" s="17">
        <v>0</v>
      </c>
      <c r="D28" s="17">
        <v>2</v>
      </c>
      <c r="E28" s="17">
        <v>0</v>
      </c>
    </row>
    <row r="29" spans="1:5" x14ac:dyDescent="0.3">
      <c r="A29" s="2"/>
      <c r="B29" s="13" t="s">
        <v>108</v>
      </c>
      <c r="C29" s="34">
        <f>SUMPRODUCT($C$18:$C$21,C25:C28)</f>
        <v>5.2</v>
      </c>
      <c r="D29" s="34">
        <f>SUMPRODUCT($C$18:$C$21,D25:D28)</f>
        <v>16.899999999999999</v>
      </c>
      <c r="E29" s="34">
        <f>SUMPRODUCT($C$18:$C$21,E25:E28)</f>
        <v>8.3000000000000007</v>
      </c>
    </row>
    <row r="30" spans="1:5" x14ac:dyDescent="0.3">
      <c r="A30" s="2"/>
      <c r="B30" s="2"/>
      <c r="C30" s="2"/>
      <c r="D30" s="2"/>
      <c r="E30" s="2"/>
    </row>
    <row r="31" spans="1:5" x14ac:dyDescent="0.3">
      <c r="A31" s="2"/>
      <c r="B31" s="4" t="s">
        <v>109</v>
      </c>
      <c r="C31" s="2"/>
      <c r="D31" s="2"/>
      <c r="E31" s="2"/>
    </row>
    <row r="32" spans="1:5" x14ac:dyDescent="0.3">
      <c r="A32" s="2"/>
      <c r="B32" s="5" t="s">
        <v>2</v>
      </c>
      <c r="C32" s="47" t="s">
        <v>3</v>
      </c>
      <c r="D32" s="52"/>
      <c r="E32" s="53"/>
    </row>
    <row r="33" spans="1:5" ht="28.05" customHeight="1" x14ac:dyDescent="0.3">
      <c r="A33" s="2"/>
      <c r="B33" s="6" t="s">
        <v>10</v>
      </c>
      <c r="C33" s="49" t="s">
        <v>110</v>
      </c>
      <c r="D33" s="50"/>
      <c r="E33" s="50"/>
    </row>
    <row r="34" spans="1:5" ht="28.05" customHeight="1" x14ac:dyDescent="0.3">
      <c r="A34" s="2"/>
      <c r="B34" s="6" t="s">
        <v>14</v>
      </c>
      <c r="C34" s="49" t="s">
        <v>111</v>
      </c>
      <c r="D34" s="50"/>
      <c r="E34" s="50"/>
    </row>
    <row r="35" spans="1:5" ht="28.05" customHeight="1" x14ac:dyDescent="0.3">
      <c r="A35" s="2"/>
      <c r="B35" s="6" t="s">
        <v>12</v>
      </c>
      <c r="C35" s="49" t="s">
        <v>112</v>
      </c>
      <c r="D35" s="50"/>
      <c r="E35" s="50"/>
    </row>
    <row r="36" spans="1:5" x14ac:dyDescent="0.3">
      <c r="A36" s="2"/>
      <c r="B36" s="2"/>
      <c r="C36" s="2"/>
      <c r="D36" s="2"/>
      <c r="E36" s="2"/>
    </row>
    <row r="37" spans="1:5" x14ac:dyDescent="0.3">
      <c r="A37" s="2"/>
      <c r="B37" s="4" t="s">
        <v>113</v>
      </c>
      <c r="C37" s="2"/>
      <c r="D37" s="2"/>
      <c r="E37" s="2"/>
    </row>
    <row r="38" spans="1:5" x14ac:dyDescent="0.3">
      <c r="A38" s="2"/>
      <c r="B38" s="5" t="s">
        <v>114</v>
      </c>
      <c r="C38" s="5" t="s">
        <v>115</v>
      </c>
      <c r="D38" s="5" t="s">
        <v>116</v>
      </c>
      <c r="E38" s="2"/>
    </row>
    <row r="39" spans="1:5" x14ac:dyDescent="0.3">
      <c r="A39" s="2"/>
      <c r="B39" s="35">
        <v>1</v>
      </c>
      <c r="C39" s="35">
        <v>5</v>
      </c>
      <c r="D39" s="36">
        <v>0</v>
      </c>
      <c r="E39" s="2"/>
    </row>
    <row r="40" spans="1:5" x14ac:dyDescent="0.3">
      <c r="A40" s="2"/>
      <c r="B40" s="35">
        <v>6</v>
      </c>
      <c r="C40" s="35">
        <v>10</v>
      </c>
      <c r="D40" s="36">
        <v>0.05</v>
      </c>
      <c r="E40" s="2"/>
    </row>
    <row r="41" spans="1:5" x14ac:dyDescent="0.3">
      <c r="A41" s="2"/>
      <c r="B41" s="35">
        <v>11</v>
      </c>
      <c r="C41" s="35">
        <v>20</v>
      </c>
      <c r="D41" s="36">
        <v>0.1</v>
      </c>
      <c r="E41" s="2"/>
    </row>
    <row r="42" spans="1:5" x14ac:dyDescent="0.3">
      <c r="A42" s="2"/>
      <c r="B42" s="35">
        <v>21</v>
      </c>
      <c r="C42" s="35">
        <v>30</v>
      </c>
      <c r="D42" s="36">
        <v>0.15</v>
      </c>
      <c r="E42" s="2"/>
    </row>
    <row r="43" spans="1:5" x14ac:dyDescent="0.3">
      <c r="A43" s="2"/>
      <c r="B43" s="35">
        <v>31</v>
      </c>
      <c r="C43" s="35">
        <v>40</v>
      </c>
      <c r="D43" s="36">
        <v>0.2</v>
      </c>
      <c r="E43" s="2"/>
    </row>
    <row r="44" spans="1:5" x14ac:dyDescent="0.3">
      <c r="A44" s="2"/>
      <c r="B44" s="35">
        <v>41</v>
      </c>
      <c r="C44" s="35">
        <v>50</v>
      </c>
      <c r="D44" s="36">
        <v>0.4</v>
      </c>
      <c r="E44" s="2"/>
    </row>
    <row r="45" spans="1:5" x14ac:dyDescent="0.3">
      <c r="A45" s="2"/>
      <c r="B45" s="35">
        <v>51</v>
      </c>
      <c r="C45" s="35">
        <v>60</v>
      </c>
      <c r="D45" s="36">
        <v>0.5</v>
      </c>
      <c r="E45" s="2"/>
    </row>
    <row r="46" spans="1:5" ht="42" customHeight="1" x14ac:dyDescent="0.3">
      <c r="A46" s="2"/>
      <c r="B46" s="51" t="s">
        <v>117</v>
      </c>
      <c r="C46" s="46"/>
      <c r="D46" s="46"/>
      <c r="E46" s="46"/>
    </row>
  </sheetData>
  <mergeCells count="5">
    <mergeCell ref="C33:E33"/>
    <mergeCell ref="C35:E35"/>
    <mergeCell ref="C34:E34"/>
    <mergeCell ref="B46:E46"/>
    <mergeCell ref="C32:E32"/>
  </mergeCell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O27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24" customWidth="1"/>
    <col min="3" max="3" width="10" customWidth="1"/>
    <col min="4" max="15" width="13" customWidth="1"/>
  </cols>
  <sheetData>
    <row r="1" spans="1:15" ht="17.399999999999999" x14ac:dyDescent="0.3">
      <c r="A1" s="26" t="s">
        <v>118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3">
      <c r="A2" s="3" t="s">
        <v>119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3">
      <c r="A4" s="46"/>
      <c r="B4" s="46"/>
      <c r="C4" s="46"/>
      <c r="D4" s="54" t="s">
        <v>120</v>
      </c>
      <c r="E4" s="55"/>
      <c r="F4" s="55"/>
      <c r="G4" s="55"/>
      <c r="H4" s="54" t="s">
        <v>121</v>
      </c>
      <c r="I4" s="55"/>
      <c r="J4" s="55"/>
      <c r="K4" s="55"/>
      <c r="L4" s="54" t="s">
        <v>122</v>
      </c>
      <c r="M4" s="55"/>
      <c r="N4" s="55"/>
      <c r="O4" s="55"/>
    </row>
    <row r="5" spans="1:15" ht="30" customHeight="1" x14ac:dyDescent="0.3">
      <c r="A5" s="5" t="s">
        <v>24</v>
      </c>
      <c r="B5" s="5" t="s">
        <v>16</v>
      </c>
      <c r="C5" s="5" t="s">
        <v>17</v>
      </c>
      <c r="D5" s="5" t="s">
        <v>123</v>
      </c>
      <c r="E5" s="5" t="s">
        <v>19</v>
      </c>
      <c r="F5" s="5" t="s">
        <v>124</v>
      </c>
      <c r="G5" s="5" t="s">
        <v>20</v>
      </c>
      <c r="H5" s="5" t="s">
        <v>123</v>
      </c>
      <c r="I5" s="5" t="s">
        <v>19</v>
      </c>
      <c r="J5" s="5" t="s">
        <v>124</v>
      </c>
      <c r="K5" s="5" t="s">
        <v>20</v>
      </c>
      <c r="L5" s="5" t="s">
        <v>123</v>
      </c>
      <c r="M5" s="5" t="s">
        <v>19</v>
      </c>
      <c r="N5" s="5" t="s">
        <v>124</v>
      </c>
      <c r="O5" s="5" t="s">
        <v>20</v>
      </c>
    </row>
    <row r="6" spans="1:15" x14ac:dyDescent="0.3">
      <c r="A6" s="12">
        <f>Παραδοχές!$C$12</f>
        <v>13</v>
      </c>
      <c r="B6" s="11" t="str">
        <f>Παραδοχές!$B$18</f>
        <v>Πλευρικός Οινοφύτων</v>
      </c>
      <c r="C6" s="8">
        <f>Παραδοχές!$C$18</f>
        <v>0.8</v>
      </c>
      <c r="D6" s="37">
        <f>$A6*Παραδοχές!$C$25</f>
        <v>26</v>
      </c>
      <c r="E6" s="10">
        <f t="shared" ref="E6:E25" si="0">D6*$C6</f>
        <v>20.8</v>
      </c>
      <c r="F6" s="38">
        <f>D6-SUMPRODUCT(Παραδοχές!$D$39:$D$45,(D6&gt;Παραδοχές!$C$39:$C$45)*(Παραδοχές!$C$39:$C$45-Παραδοχές!$B$39:$B$45+1)+(D6&gt;=Παραδοχές!$B$39:$B$45)*(D6&lt;=Παραδοχές!$C$39:$C$45)*(D6-Παραδοχές!$B$39:$B$45+1))</f>
        <v>23.85</v>
      </c>
      <c r="G6" s="10">
        <f t="shared" ref="G6:G25" si="1">F6*$C6</f>
        <v>19.080000000000002</v>
      </c>
      <c r="H6" s="37">
        <f>$A6*Παραδοχές!$D$25</f>
        <v>0</v>
      </c>
      <c r="I6" s="10">
        <f t="shared" ref="I6:I25" si="2">H6*$C6</f>
        <v>0</v>
      </c>
      <c r="J6" s="38">
        <f>H6-SUMPRODUCT(Παραδοχές!$D$39:$D$45,(H6&gt;Παραδοχές!$C$39:$C$45)*(Παραδοχές!$C$39:$C$45-Παραδοχές!$B$39:$B$45+1)+(H6&gt;=Παραδοχές!$B$39:$B$45)*(H6&lt;=Παραδοχές!$C$39:$C$45)*(H6-Παραδοχές!$B$39:$B$45+1))</f>
        <v>0</v>
      </c>
      <c r="K6" s="10">
        <f t="shared" ref="K6:K25" si="3">J6*$C6</f>
        <v>0</v>
      </c>
      <c r="L6" s="37">
        <f>$A6*Παραδοχές!$E$25</f>
        <v>13</v>
      </c>
      <c r="M6" s="10">
        <f t="shared" ref="M6:M25" si="4">L6*$C6</f>
        <v>10.4</v>
      </c>
      <c r="N6" s="38">
        <f>L6-SUMPRODUCT(Παραδοχές!$D$39:$D$45,(L6&gt;Παραδοχές!$C$39:$C$45)*(Παραδοχές!$C$39:$C$45-Παραδοχές!$B$39:$B$45+1)+(L6&gt;=Παραδοχές!$B$39:$B$45)*(L6&lt;=Παραδοχές!$C$39:$C$45)*(L6-Παραδοχές!$B$39:$B$45+1))</f>
        <v>12.45</v>
      </c>
      <c r="O6" s="10">
        <f t="shared" ref="O6:O25" si="5">N6*$C6</f>
        <v>9.9600000000000009</v>
      </c>
    </row>
    <row r="7" spans="1:15" x14ac:dyDescent="0.3">
      <c r="A7" s="12">
        <f>Παραδοχές!$C$12</f>
        <v>13</v>
      </c>
      <c r="B7" s="11" t="str">
        <f>Παραδοχές!$B$19</f>
        <v>Πλευρικός Θήβας</v>
      </c>
      <c r="C7" s="8">
        <f>Παραδοχές!$C$19</f>
        <v>1.8</v>
      </c>
      <c r="D7" s="37">
        <f>$A7*Παραδοχές!$C$26</f>
        <v>26</v>
      </c>
      <c r="E7" s="10">
        <f t="shared" si="0"/>
        <v>46.800000000000004</v>
      </c>
      <c r="F7" s="38">
        <f>D7-SUMPRODUCT(Παραδοχές!$D$39:$D$45,(D7&gt;Παραδοχές!$C$39:$C$45)*(Παραδοχές!$C$39:$C$45-Παραδοχές!$B$39:$B$45+1)+(D7&gt;=Παραδοχές!$B$39:$B$45)*(D7&lt;=Παραδοχές!$C$39:$C$45)*(D7-Παραδοχές!$B$39:$B$45+1))</f>
        <v>23.85</v>
      </c>
      <c r="G7" s="10">
        <f t="shared" si="1"/>
        <v>42.930000000000007</v>
      </c>
      <c r="H7" s="37">
        <f>$A7*Παραδοχές!$D$26</f>
        <v>0</v>
      </c>
      <c r="I7" s="10">
        <f t="shared" si="2"/>
        <v>0</v>
      </c>
      <c r="J7" s="38">
        <f>H7-SUMPRODUCT(Παραδοχές!$D$39:$D$45,(H7&gt;Παραδοχές!$C$39:$C$45)*(Παραδοχές!$C$39:$C$45-Παραδοχές!$B$39:$B$45+1)+(H7&gt;=Παραδοχές!$B$39:$B$45)*(H7&lt;=Παραδοχές!$C$39:$C$45)*(H7-Παραδοχές!$B$39:$B$45+1))</f>
        <v>0</v>
      </c>
      <c r="K7" s="10">
        <f t="shared" si="3"/>
        <v>0</v>
      </c>
      <c r="L7" s="37">
        <f>$A7*Παραδοχές!$E$26</f>
        <v>26</v>
      </c>
      <c r="M7" s="10">
        <f t="shared" si="4"/>
        <v>46.800000000000004</v>
      </c>
      <c r="N7" s="38">
        <f>L7-SUMPRODUCT(Παραδοχές!$D$39:$D$45,(L7&gt;Παραδοχές!$C$39:$C$45)*(Παραδοχές!$C$39:$C$45-Παραδοχές!$B$39:$B$45+1)+(L7&gt;=Παραδοχές!$B$39:$B$45)*(L7&lt;=Παραδοχές!$C$39:$C$45)*(L7-Παραδοχές!$B$39:$B$45+1))</f>
        <v>23.85</v>
      </c>
      <c r="O7" s="10">
        <f t="shared" si="5"/>
        <v>42.930000000000007</v>
      </c>
    </row>
    <row r="8" spans="1:15" x14ac:dyDescent="0.3">
      <c r="A8" s="12">
        <f>Παραδοχές!$C$12</f>
        <v>13</v>
      </c>
      <c r="B8" s="11" t="str">
        <f>Παραδοχές!$B$20</f>
        <v>Μετωπικός Αφιδνών</v>
      </c>
      <c r="C8" s="8">
        <f>Παραδοχές!$C$20</f>
        <v>3.9</v>
      </c>
      <c r="D8" s="37">
        <f>$A8*Παραδοχές!$C$27</f>
        <v>0</v>
      </c>
      <c r="E8" s="10">
        <f t="shared" si="0"/>
        <v>0</v>
      </c>
      <c r="F8" s="38">
        <f>D8-SUMPRODUCT(Παραδοχές!$D$39:$D$45,(D8&gt;Παραδοχές!$C$39:$C$45)*(Παραδοχές!$C$39:$C$45-Παραδοχές!$B$39:$B$45+1)+(D8&gt;=Παραδοχές!$B$39:$B$45)*(D8&lt;=Παραδοχές!$C$39:$C$45)*(D8-Παραδοχές!$B$39:$B$45+1))</f>
        <v>0</v>
      </c>
      <c r="G8" s="10">
        <f t="shared" si="1"/>
        <v>0</v>
      </c>
      <c r="H8" s="37">
        <f>$A8*Παραδοχές!$D$27</f>
        <v>26</v>
      </c>
      <c r="I8" s="10">
        <f t="shared" si="2"/>
        <v>101.39999999999999</v>
      </c>
      <c r="J8" s="38">
        <f>H8-SUMPRODUCT(Παραδοχές!$D$39:$D$45,(H8&gt;Παραδοχές!$C$39:$C$45)*(Παραδοχές!$C$39:$C$45-Παραδοχές!$B$39:$B$45+1)+(H8&gt;=Παραδοχές!$B$39:$B$45)*(H8&lt;=Παραδοχές!$C$39:$C$45)*(H8-Παραδοχές!$B$39:$B$45+1))</f>
        <v>23.85</v>
      </c>
      <c r="K8" s="10">
        <f t="shared" si="3"/>
        <v>93.015000000000001</v>
      </c>
      <c r="L8" s="37">
        <f>$A8*Παραδοχές!$E$27</f>
        <v>13</v>
      </c>
      <c r="M8" s="10">
        <f t="shared" si="4"/>
        <v>50.699999999999996</v>
      </c>
      <c r="N8" s="38">
        <f>L8-SUMPRODUCT(Παραδοχές!$D$39:$D$45,(L8&gt;Παραδοχές!$C$39:$C$45)*(Παραδοχές!$C$39:$C$45-Παραδοχές!$B$39:$B$45+1)+(L8&gt;=Παραδοχές!$B$39:$B$45)*(L8&lt;=Παραδοχές!$C$39:$C$45)*(L8-Παραδοχές!$B$39:$B$45+1))</f>
        <v>12.45</v>
      </c>
      <c r="O8" s="10">
        <f t="shared" si="5"/>
        <v>48.554999999999993</v>
      </c>
    </row>
    <row r="9" spans="1:15" x14ac:dyDescent="0.3">
      <c r="A9" s="39">
        <f>Παραδοχές!$C$12</f>
        <v>13</v>
      </c>
      <c r="B9" s="40" t="str">
        <f>Παραδοχές!$B$21</f>
        <v>Μετωπικός Θήβας</v>
      </c>
      <c r="C9" s="41">
        <f>Παραδοχές!$C$21</f>
        <v>4.55</v>
      </c>
      <c r="D9" s="42">
        <f>$A9*Παραδοχές!$C$28</f>
        <v>0</v>
      </c>
      <c r="E9" s="43">
        <f t="shared" si="0"/>
        <v>0</v>
      </c>
      <c r="F9" s="44">
        <f>D9-SUMPRODUCT(Παραδοχές!$D$39:$D$45,(D9&gt;Παραδοχές!$C$39:$C$45)*(Παραδοχές!$C$39:$C$45-Παραδοχές!$B$39:$B$45+1)+(D9&gt;=Παραδοχές!$B$39:$B$45)*(D9&lt;=Παραδοχές!$C$39:$C$45)*(D9-Παραδοχές!$B$39:$B$45+1))</f>
        <v>0</v>
      </c>
      <c r="G9" s="43">
        <f t="shared" si="1"/>
        <v>0</v>
      </c>
      <c r="H9" s="42">
        <f>$A9*Παραδοχές!$D$28</f>
        <v>26</v>
      </c>
      <c r="I9" s="43">
        <f t="shared" si="2"/>
        <v>118.3</v>
      </c>
      <c r="J9" s="44">
        <f>H9-SUMPRODUCT(Παραδοχές!$D$39:$D$45,(H9&gt;Παραδοχές!$C$39:$C$45)*(Παραδοχές!$C$39:$C$45-Παραδοχές!$B$39:$B$45+1)+(H9&gt;=Παραδοχές!$B$39:$B$45)*(H9&lt;=Παραδοχές!$C$39:$C$45)*(H9-Παραδοχές!$B$39:$B$45+1))</f>
        <v>23.85</v>
      </c>
      <c r="K9" s="43">
        <f t="shared" si="3"/>
        <v>108.5175</v>
      </c>
      <c r="L9" s="42">
        <f>$A9*Παραδοχές!$E$28</f>
        <v>0</v>
      </c>
      <c r="M9" s="43">
        <f t="shared" si="4"/>
        <v>0</v>
      </c>
      <c r="N9" s="44">
        <f>L9-SUMPRODUCT(Παραδοχές!$D$39:$D$45,(L9&gt;Παραδοχές!$C$39:$C$45)*(Παραδοχές!$C$39:$C$45-Παραδοχές!$B$39:$B$45+1)+(L9&gt;=Παραδοχές!$B$39:$B$45)*(L9&lt;=Παραδοχές!$C$39:$C$45)*(L9-Παραδοχές!$B$39:$B$45+1))</f>
        <v>0</v>
      </c>
      <c r="O9" s="43">
        <f t="shared" si="5"/>
        <v>0</v>
      </c>
    </row>
    <row r="10" spans="1:15" x14ac:dyDescent="0.3">
      <c r="A10" s="12">
        <f>Σύνοψη!$B$21</f>
        <v>12</v>
      </c>
      <c r="B10" s="11" t="str">
        <f>Παραδοχές!$B$18</f>
        <v>Πλευρικός Οινοφύτων</v>
      </c>
      <c r="C10" s="8">
        <f>Παραδοχές!$C$18</f>
        <v>0.8</v>
      </c>
      <c r="D10" s="37">
        <f>$A10*Παραδοχές!$C$25</f>
        <v>24</v>
      </c>
      <c r="E10" s="10">
        <f t="shared" si="0"/>
        <v>19.200000000000003</v>
      </c>
      <c r="F10" s="38">
        <f>D10-SUMPRODUCT(Παραδοχές!$D$39:$D$45,(D10&gt;Παραδοχές!$C$39:$C$45)*(Παραδοχές!$C$39:$C$45-Παραδοχές!$B$39:$B$45+1)+(D10&gt;=Παραδοχές!$B$39:$B$45)*(D10&lt;=Παραδοχές!$C$39:$C$45)*(D10-Παραδοχές!$B$39:$B$45+1))</f>
        <v>22.15</v>
      </c>
      <c r="G10" s="10">
        <f t="shared" si="1"/>
        <v>17.72</v>
      </c>
      <c r="H10" s="37">
        <f>$A10*Παραδοχές!$D$25</f>
        <v>0</v>
      </c>
      <c r="I10" s="10">
        <f t="shared" si="2"/>
        <v>0</v>
      </c>
      <c r="J10" s="38">
        <f>H10-SUMPRODUCT(Παραδοχές!$D$39:$D$45,(H10&gt;Παραδοχές!$C$39:$C$45)*(Παραδοχές!$C$39:$C$45-Παραδοχές!$B$39:$B$45+1)+(H10&gt;=Παραδοχές!$B$39:$B$45)*(H10&lt;=Παραδοχές!$C$39:$C$45)*(H10-Παραδοχές!$B$39:$B$45+1))</f>
        <v>0</v>
      </c>
      <c r="K10" s="10">
        <f t="shared" si="3"/>
        <v>0</v>
      </c>
      <c r="L10" s="37">
        <f>$A10*Παραδοχές!$E$25</f>
        <v>12</v>
      </c>
      <c r="M10" s="10">
        <f t="shared" si="4"/>
        <v>9.6000000000000014</v>
      </c>
      <c r="N10" s="38">
        <f>L10-SUMPRODUCT(Παραδοχές!$D$39:$D$45,(L10&gt;Παραδοχές!$C$39:$C$45)*(Παραδοχές!$C$39:$C$45-Παραδοχές!$B$39:$B$45+1)+(L10&gt;=Παραδοχές!$B$39:$B$45)*(L10&lt;=Παραδοχές!$C$39:$C$45)*(L10-Παραδοχές!$B$39:$B$45+1))</f>
        <v>11.55</v>
      </c>
      <c r="O10" s="10">
        <f t="shared" si="5"/>
        <v>9.24</v>
      </c>
    </row>
    <row r="11" spans="1:15" x14ac:dyDescent="0.3">
      <c r="A11" s="12">
        <f>Σύνοψη!$B$21</f>
        <v>12</v>
      </c>
      <c r="B11" s="11" t="str">
        <f>Παραδοχές!$B$19</f>
        <v>Πλευρικός Θήβας</v>
      </c>
      <c r="C11" s="8">
        <f>Παραδοχές!$C$19</f>
        <v>1.8</v>
      </c>
      <c r="D11" s="37">
        <f>$A11*Παραδοχές!$C$26</f>
        <v>24</v>
      </c>
      <c r="E11" s="10">
        <f t="shared" si="0"/>
        <v>43.2</v>
      </c>
      <c r="F11" s="38">
        <f>D11-SUMPRODUCT(Παραδοχές!$D$39:$D$45,(D11&gt;Παραδοχές!$C$39:$C$45)*(Παραδοχές!$C$39:$C$45-Παραδοχές!$B$39:$B$45+1)+(D11&gt;=Παραδοχές!$B$39:$B$45)*(D11&lt;=Παραδοχές!$C$39:$C$45)*(D11-Παραδοχές!$B$39:$B$45+1))</f>
        <v>22.15</v>
      </c>
      <c r="G11" s="10">
        <f t="shared" si="1"/>
        <v>39.869999999999997</v>
      </c>
      <c r="H11" s="37">
        <f>$A11*Παραδοχές!$D$26</f>
        <v>0</v>
      </c>
      <c r="I11" s="10">
        <f t="shared" si="2"/>
        <v>0</v>
      </c>
      <c r="J11" s="38">
        <f>H11-SUMPRODUCT(Παραδοχές!$D$39:$D$45,(H11&gt;Παραδοχές!$C$39:$C$45)*(Παραδοχές!$C$39:$C$45-Παραδοχές!$B$39:$B$45+1)+(H11&gt;=Παραδοχές!$B$39:$B$45)*(H11&lt;=Παραδοχές!$C$39:$C$45)*(H11-Παραδοχές!$B$39:$B$45+1))</f>
        <v>0</v>
      </c>
      <c r="K11" s="10">
        <f t="shared" si="3"/>
        <v>0</v>
      </c>
      <c r="L11" s="37">
        <f>$A11*Παραδοχές!$E$26</f>
        <v>24</v>
      </c>
      <c r="M11" s="10">
        <f t="shared" si="4"/>
        <v>43.2</v>
      </c>
      <c r="N11" s="38">
        <f>L11-SUMPRODUCT(Παραδοχές!$D$39:$D$45,(L11&gt;Παραδοχές!$C$39:$C$45)*(Παραδοχές!$C$39:$C$45-Παραδοχές!$B$39:$B$45+1)+(L11&gt;=Παραδοχές!$B$39:$B$45)*(L11&lt;=Παραδοχές!$C$39:$C$45)*(L11-Παραδοχές!$B$39:$B$45+1))</f>
        <v>22.15</v>
      </c>
      <c r="O11" s="10">
        <f t="shared" si="5"/>
        <v>39.869999999999997</v>
      </c>
    </row>
    <row r="12" spans="1:15" x14ac:dyDescent="0.3">
      <c r="A12" s="12">
        <f>Σύνοψη!$B$21</f>
        <v>12</v>
      </c>
      <c r="B12" s="11" t="str">
        <f>Παραδοχές!$B$20</f>
        <v>Μετωπικός Αφιδνών</v>
      </c>
      <c r="C12" s="8">
        <f>Παραδοχές!$C$20</f>
        <v>3.9</v>
      </c>
      <c r="D12" s="37">
        <f>$A12*Παραδοχές!$C$27</f>
        <v>0</v>
      </c>
      <c r="E12" s="10">
        <f t="shared" si="0"/>
        <v>0</v>
      </c>
      <c r="F12" s="38">
        <f>D12-SUMPRODUCT(Παραδοχές!$D$39:$D$45,(D12&gt;Παραδοχές!$C$39:$C$45)*(Παραδοχές!$C$39:$C$45-Παραδοχές!$B$39:$B$45+1)+(D12&gt;=Παραδοχές!$B$39:$B$45)*(D12&lt;=Παραδοχές!$C$39:$C$45)*(D12-Παραδοχές!$B$39:$B$45+1))</f>
        <v>0</v>
      </c>
      <c r="G12" s="10">
        <f t="shared" si="1"/>
        <v>0</v>
      </c>
      <c r="H12" s="37">
        <f>$A12*Παραδοχές!$D$27</f>
        <v>24</v>
      </c>
      <c r="I12" s="10">
        <f t="shared" si="2"/>
        <v>93.6</v>
      </c>
      <c r="J12" s="38">
        <f>H12-SUMPRODUCT(Παραδοχές!$D$39:$D$45,(H12&gt;Παραδοχές!$C$39:$C$45)*(Παραδοχές!$C$39:$C$45-Παραδοχές!$B$39:$B$45+1)+(H12&gt;=Παραδοχές!$B$39:$B$45)*(H12&lt;=Παραδοχές!$C$39:$C$45)*(H12-Παραδοχές!$B$39:$B$45+1))</f>
        <v>22.15</v>
      </c>
      <c r="K12" s="10">
        <f t="shared" si="3"/>
        <v>86.384999999999991</v>
      </c>
      <c r="L12" s="37">
        <f>$A12*Παραδοχές!$E$27</f>
        <v>12</v>
      </c>
      <c r="M12" s="10">
        <f t="shared" si="4"/>
        <v>46.8</v>
      </c>
      <c r="N12" s="38">
        <f>L12-SUMPRODUCT(Παραδοχές!$D$39:$D$45,(L12&gt;Παραδοχές!$C$39:$C$45)*(Παραδοχές!$C$39:$C$45-Παραδοχές!$B$39:$B$45+1)+(L12&gt;=Παραδοχές!$B$39:$B$45)*(L12&lt;=Παραδοχές!$C$39:$C$45)*(L12-Παραδοχές!$B$39:$B$45+1))</f>
        <v>11.55</v>
      </c>
      <c r="O12" s="10">
        <f t="shared" si="5"/>
        <v>45.045000000000002</v>
      </c>
    </row>
    <row r="13" spans="1:15" x14ac:dyDescent="0.3">
      <c r="A13" s="39">
        <f>Σύνοψη!$B$21</f>
        <v>12</v>
      </c>
      <c r="B13" s="40" t="str">
        <f>Παραδοχές!$B$21</f>
        <v>Μετωπικός Θήβας</v>
      </c>
      <c r="C13" s="41">
        <f>Παραδοχές!$C$21</f>
        <v>4.55</v>
      </c>
      <c r="D13" s="42">
        <f>$A13*Παραδοχές!$C$28</f>
        <v>0</v>
      </c>
      <c r="E13" s="43">
        <f t="shared" si="0"/>
        <v>0</v>
      </c>
      <c r="F13" s="44">
        <f>D13-SUMPRODUCT(Παραδοχές!$D$39:$D$45,(D13&gt;Παραδοχές!$C$39:$C$45)*(Παραδοχές!$C$39:$C$45-Παραδοχές!$B$39:$B$45+1)+(D13&gt;=Παραδοχές!$B$39:$B$45)*(D13&lt;=Παραδοχές!$C$39:$C$45)*(D13-Παραδοχές!$B$39:$B$45+1))</f>
        <v>0</v>
      </c>
      <c r="G13" s="43">
        <f t="shared" si="1"/>
        <v>0</v>
      </c>
      <c r="H13" s="42">
        <f>$A13*Παραδοχές!$D$28</f>
        <v>24</v>
      </c>
      <c r="I13" s="43">
        <f t="shared" si="2"/>
        <v>109.19999999999999</v>
      </c>
      <c r="J13" s="44">
        <f>H13-SUMPRODUCT(Παραδοχές!$D$39:$D$45,(H13&gt;Παραδοχές!$C$39:$C$45)*(Παραδοχές!$C$39:$C$45-Παραδοχές!$B$39:$B$45+1)+(H13&gt;=Παραδοχές!$B$39:$B$45)*(H13&lt;=Παραδοχές!$C$39:$C$45)*(H13-Παραδοχές!$B$39:$B$45+1))</f>
        <v>22.15</v>
      </c>
      <c r="K13" s="43">
        <f t="shared" si="3"/>
        <v>100.78249999999998</v>
      </c>
      <c r="L13" s="42">
        <f>$A13*Παραδοχές!$E$28</f>
        <v>0</v>
      </c>
      <c r="M13" s="43">
        <f t="shared" si="4"/>
        <v>0</v>
      </c>
      <c r="N13" s="44">
        <f>L13-SUMPRODUCT(Παραδοχές!$D$39:$D$45,(L13&gt;Παραδοχές!$C$39:$C$45)*(Παραδοχές!$C$39:$C$45-Παραδοχές!$B$39:$B$45+1)+(L13&gt;=Παραδοχές!$B$39:$B$45)*(L13&lt;=Παραδοχές!$C$39:$C$45)*(L13-Παραδοχές!$B$39:$B$45+1))</f>
        <v>0</v>
      </c>
      <c r="O13" s="43">
        <f t="shared" si="5"/>
        <v>0</v>
      </c>
    </row>
    <row r="14" spans="1:15" x14ac:dyDescent="0.3">
      <c r="A14" s="12">
        <f>Σύνοψη!$B$22</f>
        <v>13</v>
      </c>
      <c r="B14" s="11" t="str">
        <f>Παραδοχές!$B$18</f>
        <v>Πλευρικός Οινοφύτων</v>
      </c>
      <c r="C14" s="8">
        <f>Παραδοχές!$C$18</f>
        <v>0.8</v>
      </c>
      <c r="D14" s="37">
        <f>$A14*Παραδοχές!$C$25</f>
        <v>26</v>
      </c>
      <c r="E14" s="10">
        <f t="shared" si="0"/>
        <v>20.8</v>
      </c>
      <c r="F14" s="38">
        <f>D14-SUMPRODUCT(Παραδοχές!$D$39:$D$45,(D14&gt;Παραδοχές!$C$39:$C$45)*(Παραδοχές!$C$39:$C$45-Παραδοχές!$B$39:$B$45+1)+(D14&gt;=Παραδοχές!$B$39:$B$45)*(D14&lt;=Παραδοχές!$C$39:$C$45)*(D14-Παραδοχές!$B$39:$B$45+1))</f>
        <v>23.85</v>
      </c>
      <c r="G14" s="10">
        <f t="shared" si="1"/>
        <v>19.080000000000002</v>
      </c>
      <c r="H14" s="37">
        <f>$A14*Παραδοχές!$D$25</f>
        <v>0</v>
      </c>
      <c r="I14" s="10">
        <f t="shared" si="2"/>
        <v>0</v>
      </c>
      <c r="J14" s="38">
        <f>H14-SUMPRODUCT(Παραδοχές!$D$39:$D$45,(H14&gt;Παραδοχές!$C$39:$C$45)*(Παραδοχές!$C$39:$C$45-Παραδοχές!$B$39:$B$45+1)+(H14&gt;=Παραδοχές!$B$39:$B$45)*(H14&lt;=Παραδοχές!$C$39:$C$45)*(H14-Παραδοχές!$B$39:$B$45+1))</f>
        <v>0</v>
      </c>
      <c r="K14" s="10">
        <f t="shared" si="3"/>
        <v>0</v>
      </c>
      <c r="L14" s="37">
        <f>$A14*Παραδοχές!$E$25</f>
        <v>13</v>
      </c>
      <c r="M14" s="10">
        <f t="shared" si="4"/>
        <v>10.4</v>
      </c>
      <c r="N14" s="38">
        <f>L14-SUMPRODUCT(Παραδοχές!$D$39:$D$45,(L14&gt;Παραδοχές!$C$39:$C$45)*(Παραδοχές!$C$39:$C$45-Παραδοχές!$B$39:$B$45+1)+(L14&gt;=Παραδοχές!$B$39:$B$45)*(L14&lt;=Παραδοχές!$C$39:$C$45)*(L14-Παραδοχές!$B$39:$B$45+1))</f>
        <v>12.45</v>
      </c>
      <c r="O14" s="10">
        <f t="shared" si="5"/>
        <v>9.9600000000000009</v>
      </c>
    </row>
    <row r="15" spans="1:15" x14ac:dyDescent="0.3">
      <c r="A15" s="12">
        <f>Σύνοψη!$B$22</f>
        <v>13</v>
      </c>
      <c r="B15" s="11" t="str">
        <f>Παραδοχές!$B$19</f>
        <v>Πλευρικός Θήβας</v>
      </c>
      <c r="C15" s="8">
        <f>Παραδοχές!$C$19</f>
        <v>1.8</v>
      </c>
      <c r="D15" s="37">
        <f>$A15*Παραδοχές!$C$26</f>
        <v>26</v>
      </c>
      <c r="E15" s="10">
        <f t="shared" si="0"/>
        <v>46.800000000000004</v>
      </c>
      <c r="F15" s="38">
        <f>D15-SUMPRODUCT(Παραδοχές!$D$39:$D$45,(D15&gt;Παραδοχές!$C$39:$C$45)*(Παραδοχές!$C$39:$C$45-Παραδοχές!$B$39:$B$45+1)+(D15&gt;=Παραδοχές!$B$39:$B$45)*(D15&lt;=Παραδοχές!$C$39:$C$45)*(D15-Παραδοχές!$B$39:$B$45+1))</f>
        <v>23.85</v>
      </c>
      <c r="G15" s="10">
        <f t="shared" si="1"/>
        <v>42.930000000000007</v>
      </c>
      <c r="H15" s="37">
        <f>$A15*Παραδοχές!$D$26</f>
        <v>0</v>
      </c>
      <c r="I15" s="10">
        <f t="shared" si="2"/>
        <v>0</v>
      </c>
      <c r="J15" s="38">
        <f>H15-SUMPRODUCT(Παραδοχές!$D$39:$D$45,(H15&gt;Παραδοχές!$C$39:$C$45)*(Παραδοχές!$C$39:$C$45-Παραδοχές!$B$39:$B$45+1)+(H15&gt;=Παραδοχές!$B$39:$B$45)*(H15&lt;=Παραδοχές!$C$39:$C$45)*(H15-Παραδοχές!$B$39:$B$45+1))</f>
        <v>0</v>
      </c>
      <c r="K15" s="10">
        <f t="shared" si="3"/>
        <v>0</v>
      </c>
      <c r="L15" s="37">
        <f>$A15*Παραδοχές!$E$26</f>
        <v>26</v>
      </c>
      <c r="M15" s="10">
        <f t="shared" si="4"/>
        <v>46.800000000000004</v>
      </c>
      <c r="N15" s="38">
        <f>L15-SUMPRODUCT(Παραδοχές!$D$39:$D$45,(L15&gt;Παραδοχές!$C$39:$C$45)*(Παραδοχές!$C$39:$C$45-Παραδοχές!$B$39:$B$45+1)+(L15&gt;=Παραδοχές!$B$39:$B$45)*(L15&lt;=Παραδοχές!$C$39:$C$45)*(L15-Παραδοχές!$B$39:$B$45+1))</f>
        <v>23.85</v>
      </c>
      <c r="O15" s="10">
        <f t="shared" si="5"/>
        <v>42.930000000000007</v>
      </c>
    </row>
    <row r="16" spans="1:15" x14ac:dyDescent="0.3">
      <c r="A16" s="12">
        <f>Σύνοψη!$B$22</f>
        <v>13</v>
      </c>
      <c r="B16" s="11" t="str">
        <f>Παραδοχές!$B$20</f>
        <v>Μετωπικός Αφιδνών</v>
      </c>
      <c r="C16" s="8">
        <f>Παραδοχές!$C$20</f>
        <v>3.9</v>
      </c>
      <c r="D16" s="37">
        <f>$A16*Παραδοχές!$C$27</f>
        <v>0</v>
      </c>
      <c r="E16" s="10">
        <f t="shared" si="0"/>
        <v>0</v>
      </c>
      <c r="F16" s="38">
        <f>D16-SUMPRODUCT(Παραδοχές!$D$39:$D$45,(D16&gt;Παραδοχές!$C$39:$C$45)*(Παραδοχές!$C$39:$C$45-Παραδοχές!$B$39:$B$45+1)+(D16&gt;=Παραδοχές!$B$39:$B$45)*(D16&lt;=Παραδοχές!$C$39:$C$45)*(D16-Παραδοχές!$B$39:$B$45+1))</f>
        <v>0</v>
      </c>
      <c r="G16" s="10">
        <f t="shared" si="1"/>
        <v>0</v>
      </c>
      <c r="H16" s="37">
        <f>$A16*Παραδοχές!$D$27</f>
        <v>26</v>
      </c>
      <c r="I16" s="10">
        <f t="shared" si="2"/>
        <v>101.39999999999999</v>
      </c>
      <c r="J16" s="38">
        <f>H16-SUMPRODUCT(Παραδοχές!$D$39:$D$45,(H16&gt;Παραδοχές!$C$39:$C$45)*(Παραδοχές!$C$39:$C$45-Παραδοχές!$B$39:$B$45+1)+(H16&gt;=Παραδοχές!$B$39:$B$45)*(H16&lt;=Παραδοχές!$C$39:$C$45)*(H16-Παραδοχές!$B$39:$B$45+1))</f>
        <v>23.85</v>
      </c>
      <c r="K16" s="10">
        <f t="shared" si="3"/>
        <v>93.015000000000001</v>
      </c>
      <c r="L16" s="37">
        <f>$A16*Παραδοχές!$E$27</f>
        <v>13</v>
      </c>
      <c r="M16" s="10">
        <f t="shared" si="4"/>
        <v>50.699999999999996</v>
      </c>
      <c r="N16" s="38">
        <f>L16-SUMPRODUCT(Παραδοχές!$D$39:$D$45,(L16&gt;Παραδοχές!$C$39:$C$45)*(Παραδοχές!$C$39:$C$45-Παραδοχές!$B$39:$B$45+1)+(L16&gt;=Παραδοχές!$B$39:$B$45)*(L16&lt;=Παραδοχές!$C$39:$C$45)*(L16-Παραδοχές!$B$39:$B$45+1))</f>
        <v>12.45</v>
      </c>
      <c r="O16" s="10">
        <f t="shared" si="5"/>
        <v>48.554999999999993</v>
      </c>
    </row>
    <row r="17" spans="1:15" x14ac:dyDescent="0.3">
      <c r="A17" s="39">
        <f>Σύνοψη!$B$22</f>
        <v>13</v>
      </c>
      <c r="B17" s="40" t="str">
        <f>Παραδοχές!$B$21</f>
        <v>Μετωπικός Θήβας</v>
      </c>
      <c r="C17" s="41">
        <f>Παραδοχές!$C$21</f>
        <v>4.55</v>
      </c>
      <c r="D17" s="42">
        <f>$A17*Παραδοχές!$C$28</f>
        <v>0</v>
      </c>
      <c r="E17" s="43">
        <f t="shared" si="0"/>
        <v>0</v>
      </c>
      <c r="F17" s="44">
        <f>D17-SUMPRODUCT(Παραδοχές!$D$39:$D$45,(D17&gt;Παραδοχές!$C$39:$C$45)*(Παραδοχές!$C$39:$C$45-Παραδοχές!$B$39:$B$45+1)+(D17&gt;=Παραδοχές!$B$39:$B$45)*(D17&lt;=Παραδοχές!$C$39:$C$45)*(D17-Παραδοχές!$B$39:$B$45+1))</f>
        <v>0</v>
      </c>
      <c r="G17" s="43">
        <f t="shared" si="1"/>
        <v>0</v>
      </c>
      <c r="H17" s="42">
        <f>$A17*Παραδοχές!$D$28</f>
        <v>26</v>
      </c>
      <c r="I17" s="43">
        <f t="shared" si="2"/>
        <v>118.3</v>
      </c>
      <c r="J17" s="44">
        <f>H17-SUMPRODUCT(Παραδοχές!$D$39:$D$45,(H17&gt;Παραδοχές!$C$39:$C$45)*(Παραδοχές!$C$39:$C$45-Παραδοχές!$B$39:$B$45+1)+(H17&gt;=Παραδοχές!$B$39:$B$45)*(H17&lt;=Παραδοχές!$C$39:$C$45)*(H17-Παραδοχές!$B$39:$B$45+1))</f>
        <v>23.85</v>
      </c>
      <c r="K17" s="43">
        <f t="shared" si="3"/>
        <v>108.5175</v>
      </c>
      <c r="L17" s="42">
        <f>$A17*Παραδοχές!$E$28</f>
        <v>0</v>
      </c>
      <c r="M17" s="43">
        <f t="shared" si="4"/>
        <v>0</v>
      </c>
      <c r="N17" s="44">
        <f>L17-SUMPRODUCT(Παραδοχές!$D$39:$D$45,(L17&gt;Παραδοχές!$C$39:$C$45)*(Παραδοχές!$C$39:$C$45-Παραδοχές!$B$39:$B$45+1)+(L17&gt;=Παραδοχές!$B$39:$B$45)*(L17&lt;=Παραδοχές!$C$39:$C$45)*(L17-Παραδοχές!$B$39:$B$45+1))</f>
        <v>0</v>
      </c>
      <c r="O17" s="43">
        <f t="shared" si="5"/>
        <v>0</v>
      </c>
    </row>
    <row r="18" spans="1:15" x14ac:dyDescent="0.3">
      <c r="A18" s="12">
        <f>Σύνοψη!$B$23</f>
        <v>14</v>
      </c>
      <c r="B18" s="11" t="str">
        <f>Παραδοχές!$B$18</f>
        <v>Πλευρικός Οινοφύτων</v>
      </c>
      <c r="C18" s="8">
        <f>Παραδοχές!$C$18</f>
        <v>0.8</v>
      </c>
      <c r="D18" s="37">
        <f>$A18*Παραδοχές!$C$25</f>
        <v>28</v>
      </c>
      <c r="E18" s="10">
        <f t="shared" si="0"/>
        <v>22.400000000000002</v>
      </c>
      <c r="F18" s="38">
        <f>D18-SUMPRODUCT(Παραδοχές!$D$39:$D$45,(D18&gt;Παραδοχές!$C$39:$C$45)*(Παραδοχές!$C$39:$C$45-Παραδοχές!$B$39:$B$45+1)+(D18&gt;=Παραδοχές!$B$39:$B$45)*(D18&lt;=Παραδοχές!$C$39:$C$45)*(D18-Παραδοχές!$B$39:$B$45+1))</f>
        <v>25.55</v>
      </c>
      <c r="G18" s="10">
        <f t="shared" si="1"/>
        <v>20.440000000000001</v>
      </c>
      <c r="H18" s="37">
        <f>$A18*Παραδοχές!$D$25</f>
        <v>0</v>
      </c>
      <c r="I18" s="10">
        <f t="shared" si="2"/>
        <v>0</v>
      </c>
      <c r="J18" s="38">
        <f>H18-SUMPRODUCT(Παραδοχές!$D$39:$D$45,(H18&gt;Παραδοχές!$C$39:$C$45)*(Παραδοχές!$C$39:$C$45-Παραδοχές!$B$39:$B$45+1)+(H18&gt;=Παραδοχές!$B$39:$B$45)*(H18&lt;=Παραδοχές!$C$39:$C$45)*(H18-Παραδοχές!$B$39:$B$45+1))</f>
        <v>0</v>
      </c>
      <c r="K18" s="10">
        <f t="shared" si="3"/>
        <v>0</v>
      </c>
      <c r="L18" s="37">
        <f>$A18*Παραδοχές!$E$25</f>
        <v>14</v>
      </c>
      <c r="M18" s="10">
        <f t="shared" si="4"/>
        <v>11.200000000000001</v>
      </c>
      <c r="N18" s="38">
        <f>L18-SUMPRODUCT(Παραδοχές!$D$39:$D$45,(L18&gt;Παραδοχές!$C$39:$C$45)*(Παραδοχές!$C$39:$C$45-Παραδοχές!$B$39:$B$45+1)+(L18&gt;=Παραδοχές!$B$39:$B$45)*(L18&lt;=Παραδοχές!$C$39:$C$45)*(L18-Παραδοχές!$B$39:$B$45+1))</f>
        <v>13.35</v>
      </c>
      <c r="O18" s="10">
        <f t="shared" si="5"/>
        <v>10.68</v>
      </c>
    </row>
    <row r="19" spans="1:15" x14ac:dyDescent="0.3">
      <c r="A19" s="12">
        <f>Σύνοψη!$B$23</f>
        <v>14</v>
      </c>
      <c r="B19" s="11" t="str">
        <f>Παραδοχές!$B$19</f>
        <v>Πλευρικός Θήβας</v>
      </c>
      <c r="C19" s="8">
        <f>Παραδοχές!$C$19</f>
        <v>1.8</v>
      </c>
      <c r="D19" s="37">
        <f>$A19*Παραδοχές!$C$26</f>
        <v>28</v>
      </c>
      <c r="E19" s="10">
        <f t="shared" si="0"/>
        <v>50.4</v>
      </c>
      <c r="F19" s="38">
        <f>D19-SUMPRODUCT(Παραδοχές!$D$39:$D$45,(D19&gt;Παραδοχές!$C$39:$C$45)*(Παραδοχές!$C$39:$C$45-Παραδοχές!$B$39:$B$45+1)+(D19&gt;=Παραδοχές!$B$39:$B$45)*(D19&lt;=Παραδοχές!$C$39:$C$45)*(D19-Παραδοχές!$B$39:$B$45+1))</f>
        <v>25.55</v>
      </c>
      <c r="G19" s="10">
        <f t="shared" si="1"/>
        <v>45.99</v>
      </c>
      <c r="H19" s="37">
        <f>$A19*Παραδοχές!$D$26</f>
        <v>0</v>
      </c>
      <c r="I19" s="10">
        <f t="shared" si="2"/>
        <v>0</v>
      </c>
      <c r="J19" s="38">
        <f>H19-SUMPRODUCT(Παραδοχές!$D$39:$D$45,(H19&gt;Παραδοχές!$C$39:$C$45)*(Παραδοχές!$C$39:$C$45-Παραδοχές!$B$39:$B$45+1)+(H19&gt;=Παραδοχές!$B$39:$B$45)*(H19&lt;=Παραδοχές!$C$39:$C$45)*(H19-Παραδοχές!$B$39:$B$45+1))</f>
        <v>0</v>
      </c>
      <c r="K19" s="10">
        <f t="shared" si="3"/>
        <v>0</v>
      </c>
      <c r="L19" s="37">
        <f>$A19*Παραδοχές!$E$26</f>
        <v>28</v>
      </c>
      <c r="M19" s="10">
        <f t="shared" si="4"/>
        <v>50.4</v>
      </c>
      <c r="N19" s="38">
        <f>L19-SUMPRODUCT(Παραδοχές!$D$39:$D$45,(L19&gt;Παραδοχές!$C$39:$C$45)*(Παραδοχές!$C$39:$C$45-Παραδοχές!$B$39:$B$45+1)+(L19&gt;=Παραδοχές!$B$39:$B$45)*(L19&lt;=Παραδοχές!$C$39:$C$45)*(L19-Παραδοχές!$B$39:$B$45+1))</f>
        <v>25.55</v>
      </c>
      <c r="O19" s="10">
        <f t="shared" si="5"/>
        <v>45.99</v>
      </c>
    </row>
    <row r="20" spans="1:15" x14ac:dyDescent="0.3">
      <c r="A20" s="12">
        <f>Σύνοψη!$B$23</f>
        <v>14</v>
      </c>
      <c r="B20" s="11" t="str">
        <f>Παραδοχές!$B$20</f>
        <v>Μετωπικός Αφιδνών</v>
      </c>
      <c r="C20" s="8">
        <f>Παραδοχές!$C$20</f>
        <v>3.9</v>
      </c>
      <c r="D20" s="37">
        <f>$A20*Παραδοχές!$C$27</f>
        <v>0</v>
      </c>
      <c r="E20" s="10">
        <f t="shared" si="0"/>
        <v>0</v>
      </c>
      <c r="F20" s="38">
        <f>D20-SUMPRODUCT(Παραδοχές!$D$39:$D$45,(D20&gt;Παραδοχές!$C$39:$C$45)*(Παραδοχές!$C$39:$C$45-Παραδοχές!$B$39:$B$45+1)+(D20&gt;=Παραδοχές!$B$39:$B$45)*(D20&lt;=Παραδοχές!$C$39:$C$45)*(D20-Παραδοχές!$B$39:$B$45+1))</f>
        <v>0</v>
      </c>
      <c r="G20" s="10">
        <f t="shared" si="1"/>
        <v>0</v>
      </c>
      <c r="H20" s="37">
        <f>$A20*Παραδοχές!$D$27</f>
        <v>28</v>
      </c>
      <c r="I20" s="10">
        <f t="shared" si="2"/>
        <v>109.2</v>
      </c>
      <c r="J20" s="38">
        <f>H20-SUMPRODUCT(Παραδοχές!$D$39:$D$45,(H20&gt;Παραδοχές!$C$39:$C$45)*(Παραδοχές!$C$39:$C$45-Παραδοχές!$B$39:$B$45+1)+(H20&gt;=Παραδοχές!$B$39:$B$45)*(H20&lt;=Παραδοχές!$C$39:$C$45)*(H20-Παραδοχές!$B$39:$B$45+1))</f>
        <v>25.55</v>
      </c>
      <c r="K20" s="10">
        <f t="shared" si="3"/>
        <v>99.644999999999996</v>
      </c>
      <c r="L20" s="37">
        <f>$A20*Παραδοχές!$E$27</f>
        <v>14</v>
      </c>
      <c r="M20" s="10">
        <f t="shared" si="4"/>
        <v>54.6</v>
      </c>
      <c r="N20" s="38">
        <f>L20-SUMPRODUCT(Παραδοχές!$D$39:$D$45,(L20&gt;Παραδοχές!$C$39:$C$45)*(Παραδοχές!$C$39:$C$45-Παραδοχές!$B$39:$B$45+1)+(L20&gt;=Παραδοχές!$B$39:$B$45)*(L20&lt;=Παραδοχές!$C$39:$C$45)*(L20-Παραδοχές!$B$39:$B$45+1))</f>
        <v>13.35</v>
      </c>
      <c r="O20" s="10">
        <f t="shared" si="5"/>
        <v>52.064999999999998</v>
      </c>
    </row>
    <row r="21" spans="1:15" x14ac:dyDescent="0.3">
      <c r="A21" s="39">
        <f>Σύνοψη!$B$23</f>
        <v>14</v>
      </c>
      <c r="B21" s="40" t="str">
        <f>Παραδοχές!$B$21</f>
        <v>Μετωπικός Θήβας</v>
      </c>
      <c r="C21" s="41">
        <f>Παραδοχές!$C$21</f>
        <v>4.55</v>
      </c>
      <c r="D21" s="42">
        <f>$A21*Παραδοχές!$C$28</f>
        <v>0</v>
      </c>
      <c r="E21" s="43">
        <f t="shared" si="0"/>
        <v>0</v>
      </c>
      <c r="F21" s="44">
        <f>D21-SUMPRODUCT(Παραδοχές!$D$39:$D$45,(D21&gt;Παραδοχές!$C$39:$C$45)*(Παραδοχές!$C$39:$C$45-Παραδοχές!$B$39:$B$45+1)+(D21&gt;=Παραδοχές!$B$39:$B$45)*(D21&lt;=Παραδοχές!$C$39:$C$45)*(D21-Παραδοχές!$B$39:$B$45+1))</f>
        <v>0</v>
      </c>
      <c r="G21" s="43">
        <f t="shared" si="1"/>
        <v>0</v>
      </c>
      <c r="H21" s="42">
        <f>$A21*Παραδοχές!$D$28</f>
        <v>28</v>
      </c>
      <c r="I21" s="43">
        <f t="shared" si="2"/>
        <v>127.39999999999999</v>
      </c>
      <c r="J21" s="44">
        <f>H21-SUMPRODUCT(Παραδοχές!$D$39:$D$45,(H21&gt;Παραδοχές!$C$39:$C$45)*(Παραδοχές!$C$39:$C$45-Παραδοχές!$B$39:$B$45+1)+(H21&gt;=Παραδοχές!$B$39:$B$45)*(H21&lt;=Παραδοχές!$C$39:$C$45)*(H21-Παραδοχές!$B$39:$B$45+1))</f>
        <v>25.55</v>
      </c>
      <c r="K21" s="43">
        <f t="shared" si="3"/>
        <v>116.2525</v>
      </c>
      <c r="L21" s="42">
        <f>$A21*Παραδοχές!$E$28</f>
        <v>0</v>
      </c>
      <c r="M21" s="43">
        <f t="shared" si="4"/>
        <v>0</v>
      </c>
      <c r="N21" s="44">
        <f>L21-SUMPRODUCT(Παραδοχές!$D$39:$D$45,(L21&gt;Παραδοχές!$C$39:$C$45)*(Παραδοχές!$C$39:$C$45-Παραδοχές!$B$39:$B$45+1)+(L21&gt;=Παραδοχές!$B$39:$B$45)*(L21&lt;=Παραδοχές!$C$39:$C$45)*(L21-Παραδοχές!$B$39:$B$45+1))</f>
        <v>0</v>
      </c>
      <c r="O21" s="43">
        <f t="shared" si="5"/>
        <v>0</v>
      </c>
    </row>
    <row r="22" spans="1:15" x14ac:dyDescent="0.3">
      <c r="A22" s="12">
        <f>Σύνοψη!$B$24</f>
        <v>15</v>
      </c>
      <c r="B22" s="11" t="str">
        <f>Παραδοχές!$B$18</f>
        <v>Πλευρικός Οινοφύτων</v>
      </c>
      <c r="C22" s="8">
        <f>Παραδοχές!$C$18</f>
        <v>0.8</v>
      </c>
      <c r="D22" s="37">
        <f>$A22*Παραδοχές!$C$25</f>
        <v>30</v>
      </c>
      <c r="E22" s="10">
        <f t="shared" si="0"/>
        <v>24</v>
      </c>
      <c r="F22" s="38">
        <f>D22-SUMPRODUCT(Παραδοχές!$D$39:$D$45,(D22&gt;Παραδοχές!$C$39:$C$45)*(Παραδοχές!$C$39:$C$45-Παραδοχές!$B$39:$B$45+1)+(D22&gt;=Παραδοχές!$B$39:$B$45)*(D22&lt;=Παραδοχές!$C$39:$C$45)*(D22-Παραδοχές!$B$39:$B$45+1))</f>
        <v>27.25</v>
      </c>
      <c r="G22" s="10">
        <f t="shared" si="1"/>
        <v>21.8</v>
      </c>
      <c r="H22" s="37">
        <f>$A22*Παραδοχές!$D$25</f>
        <v>0</v>
      </c>
      <c r="I22" s="10">
        <f t="shared" si="2"/>
        <v>0</v>
      </c>
      <c r="J22" s="38">
        <f>H22-SUMPRODUCT(Παραδοχές!$D$39:$D$45,(H22&gt;Παραδοχές!$C$39:$C$45)*(Παραδοχές!$C$39:$C$45-Παραδοχές!$B$39:$B$45+1)+(H22&gt;=Παραδοχές!$B$39:$B$45)*(H22&lt;=Παραδοχές!$C$39:$C$45)*(H22-Παραδοχές!$B$39:$B$45+1))</f>
        <v>0</v>
      </c>
      <c r="K22" s="10">
        <f t="shared" si="3"/>
        <v>0</v>
      </c>
      <c r="L22" s="37">
        <f>$A22*Παραδοχές!$E$25</f>
        <v>15</v>
      </c>
      <c r="M22" s="10">
        <f t="shared" si="4"/>
        <v>12</v>
      </c>
      <c r="N22" s="38">
        <f>L22-SUMPRODUCT(Παραδοχές!$D$39:$D$45,(L22&gt;Παραδοχές!$C$39:$C$45)*(Παραδοχές!$C$39:$C$45-Παραδοχές!$B$39:$B$45+1)+(L22&gt;=Παραδοχές!$B$39:$B$45)*(L22&lt;=Παραδοχές!$C$39:$C$45)*(L22-Παραδοχές!$B$39:$B$45+1))</f>
        <v>14.25</v>
      </c>
      <c r="O22" s="10">
        <f t="shared" si="5"/>
        <v>11.4</v>
      </c>
    </row>
    <row r="23" spans="1:15" x14ac:dyDescent="0.3">
      <c r="A23" s="12">
        <f>Σύνοψη!$B$24</f>
        <v>15</v>
      </c>
      <c r="B23" s="11" t="str">
        <f>Παραδοχές!$B$19</f>
        <v>Πλευρικός Θήβας</v>
      </c>
      <c r="C23" s="8">
        <f>Παραδοχές!$C$19</f>
        <v>1.8</v>
      </c>
      <c r="D23" s="37">
        <f>$A23*Παραδοχές!$C$26</f>
        <v>30</v>
      </c>
      <c r="E23" s="10">
        <f t="shared" si="0"/>
        <v>54</v>
      </c>
      <c r="F23" s="38">
        <f>D23-SUMPRODUCT(Παραδοχές!$D$39:$D$45,(D23&gt;Παραδοχές!$C$39:$C$45)*(Παραδοχές!$C$39:$C$45-Παραδοχές!$B$39:$B$45+1)+(D23&gt;=Παραδοχές!$B$39:$B$45)*(D23&lt;=Παραδοχές!$C$39:$C$45)*(D23-Παραδοχές!$B$39:$B$45+1))</f>
        <v>27.25</v>
      </c>
      <c r="G23" s="10">
        <f t="shared" si="1"/>
        <v>49.050000000000004</v>
      </c>
      <c r="H23" s="37">
        <f>$A23*Παραδοχές!$D$26</f>
        <v>0</v>
      </c>
      <c r="I23" s="10">
        <f t="shared" si="2"/>
        <v>0</v>
      </c>
      <c r="J23" s="38">
        <f>H23-SUMPRODUCT(Παραδοχές!$D$39:$D$45,(H23&gt;Παραδοχές!$C$39:$C$45)*(Παραδοχές!$C$39:$C$45-Παραδοχές!$B$39:$B$45+1)+(H23&gt;=Παραδοχές!$B$39:$B$45)*(H23&lt;=Παραδοχές!$C$39:$C$45)*(H23-Παραδοχές!$B$39:$B$45+1))</f>
        <v>0</v>
      </c>
      <c r="K23" s="10">
        <f t="shared" si="3"/>
        <v>0</v>
      </c>
      <c r="L23" s="37">
        <f>$A23*Παραδοχές!$E$26</f>
        <v>30</v>
      </c>
      <c r="M23" s="10">
        <f t="shared" si="4"/>
        <v>54</v>
      </c>
      <c r="N23" s="38">
        <f>L23-SUMPRODUCT(Παραδοχές!$D$39:$D$45,(L23&gt;Παραδοχές!$C$39:$C$45)*(Παραδοχές!$C$39:$C$45-Παραδοχές!$B$39:$B$45+1)+(L23&gt;=Παραδοχές!$B$39:$B$45)*(L23&lt;=Παραδοχές!$C$39:$C$45)*(L23-Παραδοχές!$B$39:$B$45+1))</f>
        <v>27.25</v>
      </c>
      <c r="O23" s="10">
        <f t="shared" si="5"/>
        <v>49.050000000000004</v>
      </c>
    </row>
    <row r="24" spans="1:15" x14ac:dyDescent="0.3">
      <c r="A24" s="12">
        <f>Σύνοψη!$B$24</f>
        <v>15</v>
      </c>
      <c r="B24" s="11" t="str">
        <f>Παραδοχές!$B$20</f>
        <v>Μετωπικός Αφιδνών</v>
      </c>
      <c r="C24" s="8">
        <f>Παραδοχές!$C$20</f>
        <v>3.9</v>
      </c>
      <c r="D24" s="37">
        <f>$A24*Παραδοχές!$C$27</f>
        <v>0</v>
      </c>
      <c r="E24" s="10">
        <f t="shared" si="0"/>
        <v>0</v>
      </c>
      <c r="F24" s="38">
        <f>D24-SUMPRODUCT(Παραδοχές!$D$39:$D$45,(D24&gt;Παραδοχές!$C$39:$C$45)*(Παραδοχές!$C$39:$C$45-Παραδοχές!$B$39:$B$45+1)+(D24&gt;=Παραδοχές!$B$39:$B$45)*(D24&lt;=Παραδοχές!$C$39:$C$45)*(D24-Παραδοχές!$B$39:$B$45+1))</f>
        <v>0</v>
      </c>
      <c r="G24" s="10">
        <f t="shared" si="1"/>
        <v>0</v>
      </c>
      <c r="H24" s="37">
        <f>$A24*Παραδοχές!$D$27</f>
        <v>30</v>
      </c>
      <c r="I24" s="10">
        <f t="shared" si="2"/>
        <v>117</v>
      </c>
      <c r="J24" s="38">
        <f>H24-SUMPRODUCT(Παραδοχές!$D$39:$D$45,(H24&gt;Παραδοχές!$C$39:$C$45)*(Παραδοχές!$C$39:$C$45-Παραδοχές!$B$39:$B$45+1)+(H24&gt;=Παραδοχές!$B$39:$B$45)*(H24&lt;=Παραδοχές!$C$39:$C$45)*(H24-Παραδοχές!$B$39:$B$45+1))</f>
        <v>27.25</v>
      </c>
      <c r="K24" s="10">
        <f t="shared" si="3"/>
        <v>106.27499999999999</v>
      </c>
      <c r="L24" s="37">
        <f>$A24*Παραδοχές!$E$27</f>
        <v>15</v>
      </c>
      <c r="M24" s="10">
        <f t="shared" si="4"/>
        <v>58.5</v>
      </c>
      <c r="N24" s="38">
        <f>L24-SUMPRODUCT(Παραδοχές!$D$39:$D$45,(L24&gt;Παραδοχές!$C$39:$C$45)*(Παραδοχές!$C$39:$C$45-Παραδοχές!$B$39:$B$45+1)+(L24&gt;=Παραδοχές!$B$39:$B$45)*(L24&lt;=Παραδοχές!$C$39:$C$45)*(L24-Παραδοχές!$B$39:$B$45+1))</f>
        <v>14.25</v>
      </c>
      <c r="O24" s="10">
        <f t="shared" si="5"/>
        <v>55.574999999999996</v>
      </c>
    </row>
    <row r="25" spans="1:15" x14ac:dyDescent="0.3">
      <c r="A25" s="12">
        <f>Σύνοψη!$B$24</f>
        <v>15</v>
      </c>
      <c r="B25" s="11" t="str">
        <f>Παραδοχές!$B$21</f>
        <v>Μετωπικός Θήβας</v>
      </c>
      <c r="C25" s="8">
        <f>Παραδοχές!$C$21</f>
        <v>4.55</v>
      </c>
      <c r="D25" s="37">
        <f>$A25*Παραδοχές!$C$28</f>
        <v>0</v>
      </c>
      <c r="E25" s="10">
        <f t="shared" si="0"/>
        <v>0</v>
      </c>
      <c r="F25" s="38">
        <f>D25-SUMPRODUCT(Παραδοχές!$D$39:$D$45,(D25&gt;Παραδοχές!$C$39:$C$45)*(Παραδοχές!$C$39:$C$45-Παραδοχές!$B$39:$B$45+1)+(D25&gt;=Παραδοχές!$B$39:$B$45)*(D25&lt;=Παραδοχές!$C$39:$C$45)*(D25-Παραδοχές!$B$39:$B$45+1))</f>
        <v>0</v>
      </c>
      <c r="G25" s="10">
        <f t="shared" si="1"/>
        <v>0</v>
      </c>
      <c r="H25" s="37">
        <f>$A25*Παραδοχές!$D$28</f>
        <v>30</v>
      </c>
      <c r="I25" s="10">
        <f t="shared" si="2"/>
        <v>136.5</v>
      </c>
      <c r="J25" s="38">
        <f>H25-SUMPRODUCT(Παραδοχές!$D$39:$D$45,(H25&gt;Παραδοχές!$C$39:$C$45)*(Παραδοχές!$C$39:$C$45-Παραδοχές!$B$39:$B$45+1)+(H25&gt;=Παραδοχές!$B$39:$B$45)*(H25&lt;=Παραδοχές!$C$39:$C$45)*(H25-Παραδοχές!$B$39:$B$45+1))</f>
        <v>27.25</v>
      </c>
      <c r="K25" s="10">
        <f t="shared" si="3"/>
        <v>123.9875</v>
      </c>
      <c r="L25" s="37">
        <f>$A25*Παραδοχές!$E$28</f>
        <v>0</v>
      </c>
      <c r="M25" s="10">
        <f t="shared" si="4"/>
        <v>0</v>
      </c>
      <c r="N25" s="38">
        <f>L25-SUMPRODUCT(Παραδοχές!$D$39:$D$45,(L25&gt;Παραδοχές!$C$39:$C$45)*(Παραδοχές!$C$39:$C$45-Παραδοχές!$B$39:$B$45+1)+(L25&gt;=Παραδοχές!$B$39:$B$45)*(L25&lt;=Παραδοχές!$C$39:$C$45)*(L25-Παραδοχές!$B$39:$B$45+1))</f>
        <v>0</v>
      </c>
      <c r="O25" s="10">
        <f t="shared" si="5"/>
        <v>0</v>
      </c>
    </row>
    <row r="26" spans="1:15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3">
      <c r="A27" s="3" t="s">
        <v>125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</sheetData>
  <mergeCells count="4">
    <mergeCell ref="L4:O4"/>
    <mergeCell ref="A4:C4"/>
    <mergeCell ref="H4:K4"/>
    <mergeCell ref="D4:G4"/>
  </mergeCell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3</vt:i4>
      </vt:variant>
    </vt:vector>
  </HeadingPairs>
  <TitlesOfParts>
    <vt:vector size="3" baseType="lpstr">
      <vt:lpstr>Σύνοψη</vt:lpstr>
      <vt:lpstr>Παραδοχές</vt:lpstr>
      <vt:lpstr>Υπολογισμός διοδίων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Karolos Geroulanos</cp:lastModifiedBy>
  <dcterms:created xsi:type="dcterms:W3CDTF">2026-10-07T12:17:12Z</dcterms:created>
  <dcterms:modified xsi:type="dcterms:W3CDTF">2026-10-07T12:17:14Z</dcterms:modified>
</cp:coreProperties>
</file>